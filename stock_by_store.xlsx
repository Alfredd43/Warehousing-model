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fred John\PetHaven_data_solution\"/>
    </mc:Choice>
  </mc:AlternateContent>
  <xr:revisionPtr revIDLastSave="0" documentId="13_ncr:1_{F290596F-EAA9-4D47-AC07-E5FE4E0B66EA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All Stores" sheetId="1" r:id="rId1"/>
    <sheet name="Parramatta" sheetId="2" r:id="rId2"/>
    <sheet name="Bondi" sheetId="3" r:id="rId3"/>
    <sheet name="Chatswood" sheetId="4" r:id="rId4"/>
    <sheet name="Newtown" sheetId="5" r:id="rId5"/>
    <sheet name="Penrith" sheetId="6" r:id="rId6"/>
  </sheets>
  <definedNames>
    <definedName name="_xlnm._FilterDatabase" localSheetId="0" hidden="1">'All Stores'!$A$4:$N$22</definedName>
    <definedName name="_xlnm._FilterDatabase" localSheetId="2" hidden="1">Bondi!$A$4:$J$22</definedName>
    <definedName name="_xlnm._FilterDatabase" localSheetId="3" hidden="1">Chatswood!$A$4:$J$22</definedName>
    <definedName name="_xlnm._FilterDatabase" localSheetId="4" hidden="1">Newtown!$A$4:$J$22</definedName>
    <definedName name="_xlnm._FilterDatabase" localSheetId="1" hidden="1">Parramatta!$A$4:$J$22</definedName>
    <definedName name="_xlnm._FilterDatabase" localSheetId="5" hidden="1">Penrith!$A$4:$J$22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6" l="1"/>
  <c r="E23" i="6"/>
  <c r="I22" i="6"/>
  <c r="G22" i="6"/>
  <c r="H22" i="6" s="1"/>
  <c r="I21" i="6"/>
  <c r="G21" i="6"/>
  <c r="H21" i="6" s="1"/>
  <c r="I20" i="6"/>
  <c r="G20" i="6"/>
  <c r="H20" i="6" s="1"/>
  <c r="I19" i="6"/>
  <c r="G19" i="6"/>
  <c r="H19" i="6" s="1"/>
  <c r="I18" i="6"/>
  <c r="G18" i="6"/>
  <c r="H18" i="6" s="1"/>
  <c r="I17" i="6"/>
  <c r="G17" i="6"/>
  <c r="H17" i="6" s="1"/>
  <c r="I16" i="6"/>
  <c r="H16" i="6"/>
  <c r="G16" i="6"/>
  <c r="I15" i="6"/>
  <c r="G15" i="6"/>
  <c r="H15" i="6" s="1"/>
  <c r="I14" i="6"/>
  <c r="G14" i="6"/>
  <c r="H14" i="6" s="1"/>
  <c r="I13" i="6"/>
  <c r="G13" i="6"/>
  <c r="H13" i="6" s="1"/>
  <c r="I12" i="6"/>
  <c r="G12" i="6"/>
  <c r="H12" i="6" s="1"/>
  <c r="I11" i="6"/>
  <c r="G11" i="6"/>
  <c r="H11" i="6" s="1"/>
  <c r="I10" i="6"/>
  <c r="G10" i="6"/>
  <c r="H10" i="6" s="1"/>
  <c r="I9" i="6"/>
  <c r="G9" i="6"/>
  <c r="H9" i="6" s="1"/>
  <c r="I8" i="6"/>
  <c r="G8" i="6"/>
  <c r="H8" i="6" s="1"/>
  <c r="I7" i="6"/>
  <c r="G7" i="6"/>
  <c r="I6" i="6"/>
  <c r="G6" i="6"/>
  <c r="H6" i="6" s="1"/>
  <c r="I5" i="6"/>
  <c r="I23" i="6" s="1"/>
  <c r="G5" i="6"/>
  <c r="H5" i="6" s="1"/>
  <c r="F23" i="5"/>
  <c r="E23" i="5"/>
  <c r="I22" i="5"/>
  <c r="G22" i="5"/>
  <c r="H22" i="5" s="1"/>
  <c r="I21" i="5"/>
  <c r="G21" i="5"/>
  <c r="H21" i="5" s="1"/>
  <c r="I20" i="5"/>
  <c r="G20" i="5"/>
  <c r="H20" i="5" s="1"/>
  <c r="I19" i="5"/>
  <c r="H19" i="5"/>
  <c r="G19" i="5"/>
  <c r="I18" i="5"/>
  <c r="G18" i="5"/>
  <c r="H18" i="5" s="1"/>
  <c r="I17" i="5"/>
  <c r="G17" i="5"/>
  <c r="H17" i="5" s="1"/>
  <c r="I16" i="5"/>
  <c r="G16" i="5"/>
  <c r="H16" i="5" s="1"/>
  <c r="I15" i="5"/>
  <c r="G15" i="5"/>
  <c r="H15" i="5" s="1"/>
  <c r="I14" i="5"/>
  <c r="G14" i="5"/>
  <c r="H14" i="5" s="1"/>
  <c r="I13" i="5"/>
  <c r="H13" i="5"/>
  <c r="G13" i="5"/>
  <c r="I12" i="5"/>
  <c r="G12" i="5"/>
  <c r="H12" i="5" s="1"/>
  <c r="I11" i="5"/>
  <c r="G11" i="5"/>
  <c r="H11" i="5" s="1"/>
  <c r="I10" i="5"/>
  <c r="G10" i="5"/>
  <c r="H10" i="5" s="1"/>
  <c r="I9" i="5"/>
  <c r="G9" i="5"/>
  <c r="H9" i="5" s="1"/>
  <c r="I8" i="5"/>
  <c r="G8" i="5"/>
  <c r="H8" i="5" s="1"/>
  <c r="I7" i="5"/>
  <c r="G7" i="5"/>
  <c r="I6" i="5"/>
  <c r="H6" i="5"/>
  <c r="G6" i="5"/>
  <c r="I5" i="5"/>
  <c r="I23" i="5" s="1"/>
  <c r="G5" i="5"/>
  <c r="H5" i="5" s="1"/>
  <c r="I23" i="4"/>
  <c r="F23" i="4"/>
  <c r="E23" i="4"/>
  <c r="I22" i="4"/>
  <c r="G22" i="4"/>
  <c r="H22" i="4" s="1"/>
  <c r="I21" i="4"/>
  <c r="G21" i="4"/>
  <c r="H21" i="4" s="1"/>
  <c r="I20" i="4"/>
  <c r="G20" i="4"/>
  <c r="H20" i="4" s="1"/>
  <c r="I19" i="4"/>
  <c r="G19" i="4"/>
  <c r="H19" i="4" s="1"/>
  <c r="I18" i="4"/>
  <c r="G18" i="4"/>
  <c r="H18" i="4" s="1"/>
  <c r="I17" i="4"/>
  <c r="G17" i="4"/>
  <c r="H17" i="4" s="1"/>
  <c r="I16" i="4"/>
  <c r="G16" i="4"/>
  <c r="H16" i="4" s="1"/>
  <c r="I15" i="4"/>
  <c r="G15" i="4"/>
  <c r="H15" i="4" s="1"/>
  <c r="I14" i="4"/>
  <c r="G14" i="4"/>
  <c r="H14" i="4" s="1"/>
  <c r="I13" i="4"/>
  <c r="G13" i="4"/>
  <c r="H13" i="4" s="1"/>
  <c r="I12" i="4"/>
  <c r="G12" i="4"/>
  <c r="H12" i="4" s="1"/>
  <c r="I11" i="4"/>
  <c r="G11" i="4"/>
  <c r="H11" i="4" s="1"/>
  <c r="I10" i="4"/>
  <c r="G10" i="4"/>
  <c r="H10" i="4" s="1"/>
  <c r="I9" i="4"/>
  <c r="G9" i="4"/>
  <c r="H9" i="4" s="1"/>
  <c r="I8" i="4"/>
  <c r="G8" i="4"/>
  <c r="H8" i="4" s="1"/>
  <c r="I7" i="4"/>
  <c r="G7" i="4"/>
  <c r="H7" i="4" s="1"/>
  <c r="I6" i="4"/>
  <c r="G6" i="4"/>
  <c r="H6" i="4" s="1"/>
  <c r="I5" i="4"/>
  <c r="G5" i="4"/>
  <c r="H5" i="4" s="1"/>
  <c r="F23" i="3"/>
  <c r="E23" i="3"/>
  <c r="I22" i="3"/>
  <c r="G22" i="3"/>
  <c r="H22" i="3" s="1"/>
  <c r="I21" i="3"/>
  <c r="G21" i="3"/>
  <c r="H21" i="3" s="1"/>
  <c r="I20" i="3"/>
  <c r="G20" i="3"/>
  <c r="H20" i="3" s="1"/>
  <c r="I19" i="3"/>
  <c r="G19" i="3"/>
  <c r="H19" i="3" s="1"/>
  <c r="I18" i="3"/>
  <c r="G18" i="3"/>
  <c r="H18" i="3" s="1"/>
  <c r="I17" i="3"/>
  <c r="G17" i="3"/>
  <c r="H17" i="3" s="1"/>
  <c r="I16" i="3"/>
  <c r="G16" i="3"/>
  <c r="H16" i="3" s="1"/>
  <c r="I15" i="3"/>
  <c r="G15" i="3"/>
  <c r="H15" i="3" s="1"/>
  <c r="I14" i="3"/>
  <c r="G14" i="3"/>
  <c r="H14" i="3" s="1"/>
  <c r="I13" i="3"/>
  <c r="G13" i="3"/>
  <c r="H13" i="3" s="1"/>
  <c r="I12" i="3"/>
  <c r="G12" i="3"/>
  <c r="H12" i="3" s="1"/>
  <c r="I11" i="3"/>
  <c r="G11" i="3"/>
  <c r="H11" i="3" s="1"/>
  <c r="I10" i="3"/>
  <c r="G10" i="3"/>
  <c r="H10" i="3" s="1"/>
  <c r="I9" i="3"/>
  <c r="G9" i="3"/>
  <c r="H9" i="3" s="1"/>
  <c r="I8" i="3"/>
  <c r="G8" i="3"/>
  <c r="H8" i="3" s="1"/>
  <c r="I7" i="3"/>
  <c r="G7" i="3"/>
  <c r="G23" i="3" s="1"/>
  <c r="I6" i="3"/>
  <c r="G6" i="3"/>
  <c r="H6" i="3" s="1"/>
  <c r="I5" i="3"/>
  <c r="I23" i="3" s="1"/>
  <c r="G5" i="3"/>
  <c r="H5" i="3" s="1"/>
  <c r="F23" i="2"/>
  <c r="E23" i="2"/>
  <c r="I22" i="2"/>
  <c r="H22" i="2"/>
  <c r="G22" i="2"/>
  <c r="I21" i="2"/>
  <c r="H21" i="2"/>
  <c r="G21" i="2"/>
  <c r="I20" i="2"/>
  <c r="G20" i="2"/>
  <c r="H20" i="2" s="1"/>
  <c r="I19" i="2"/>
  <c r="G19" i="2"/>
  <c r="H19" i="2" s="1"/>
  <c r="I18" i="2"/>
  <c r="H18" i="2"/>
  <c r="G18" i="2"/>
  <c r="I17" i="2"/>
  <c r="G17" i="2"/>
  <c r="H17" i="2" s="1"/>
  <c r="I16" i="2"/>
  <c r="G16" i="2"/>
  <c r="H16" i="2" s="1"/>
  <c r="I15" i="2"/>
  <c r="G15" i="2"/>
  <c r="H15" i="2" s="1"/>
  <c r="I14" i="2"/>
  <c r="H14" i="2"/>
  <c r="G14" i="2"/>
  <c r="I13" i="2"/>
  <c r="G13" i="2"/>
  <c r="H13" i="2" s="1"/>
  <c r="I12" i="2"/>
  <c r="G12" i="2"/>
  <c r="H12" i="2" s="1"/>
  <c r="I11" i="2"/>
  <c r="G11" i="2"/>
  <c r="H11" i="2" s="1"/>
  <c r="I10" i="2"/>
  <c r="H10" i="2"/>
  <c r="G10" i="2"/>
  <c r="I9" i="2"/>
  <c r="G9" i="2"/>
  <c r="H9" i="2" s="1"/>
  <c r="I8" i="2"/>
  <c r="G8" i="2"/>
  <c r="H8" i="2" s="1"/>
  <c r="I7" i="2"/>
  <c r="G7" i="2"/>
  <c r="G23" i="2" s="1"/>
  <c r="I6" i="2"/>
  <c r="G6" i="2"/>
  <c r="H6" i="2" s="1"/>
  <c r="I5" i="2"/>
  <c r="I23" i="2" s="1"/>
  <c r="G5" i="2"/>
  <c r="H5" i="2" s="1"/>
  <c r="L23" i="1"/>
  <c r="J22" i="1"/>
  <c r="H22" i="1"/>
  <c r="G22" i="1"/>
  <c r="F22" i="1"/>
  <c r="E22" i="1"/>
  <c r="D22" i="1"/>
  <c r="J21" i="1"/>
  <c r="H21" i="1"/>
  <c r="G21" i="1"/>
  <c r="F21" i="1"/>
  <c r="E21" i="1"/>
  <c r="D21" i="1"/>
  <c r="J20" i="1"/>
  <c r="H20" i="1"/>
  <c r="G20" i="1"/>
  <c r="F20" i="1"/>
  <c r="E20" i="1"/>
  <c r="D20" i="1"/>
  <c r="I20" i="1" s="1"/>
  <c r="J19" i="1"/>
  <c r="H19" i="1"/>
  <c r="G19" i="1"/>
  <c r="F19" i="1"/>
  <c r="E19" i="1"/>
  <c r="D19" i="1"/>
  <c r="J18" i="1"/>
  <c r="H18" i="1"/>
  <c r="G18" i="1"/>
  <c r="F18" i="1"/>
  <c r="E18" i="1"/>
  <c r="D18" i="1"/>
  <c r="I18" i="1" s="1"/>
  <c r="J17" i="1"/>
  <c r="H17" i="1"/>
  <c r="G17" i="1"/>
  <c r="F17" i="1"/>
  <c r="E17" i="1"/>
  <c r="D17" i="1"/>
  <c r="J16" i="1"/>
  <c r="H16" i="1"/>
  <c r="G16" i="1"/>
  <c r="F16" i="1"/>
  <c r="E16" i="1"/>
  <c r="D16" i="1"/>
  <c r="J15" i="1"/>
  <c r="H15" i="1"/>
  <c r="G15" i="1"/>
  <c r="F15" i="1"/>
  <c r="E15" i="1"/>
  <c r="D15" i="1"/>
  <c r="J14" i="1"/>
  <c r="H14" i="1"/>
  <c r="G14" i="1"/>
  <c r="F14" i="1"/>
  <c r="E14" i="1"/>
  <c r="D14" i="1"/>
  <c r="I14" i="1" s="1"/>
  <c r="J13" i="1"/>
  <c r="H13" i="1"/>
  <c r="G13" i="1"/>
  <c r="F13" i="1"/>
  <c r="E13" i="1"/>
  <c r="D13" i="1"/>
  <c r="J12" i="1"/>
  <c r="H12" i="1"/>
  <c r="G12" i="1"/>
  <c r="F12" i="1"/>
  <c r="E12" i="1"/>
  <c r="D12" i="1"/>
  <c r="I12" i="1" s="1"/>
  <c r="J11" i="1"/>
  <c r="H11" i="1"/>
  <c r="G11" i="1"/>
  <c r="F11" i="1"/>
  <c r="E11" i="1"/>
  <c r="D11" i="1"/>
  <c r="J10" i="1"/>
  <c r="H10" i="1"/>
  <c r="G10" i="1"/>
  <c r="F10" i="1"/>
  <c r="E10" i="1"/>
  <c r="D10" i="1"/>
  <c r="J9" i="1"/>
  <c r="H9" i="1"/>
  <c r="G9" i="1"/>
  <c r="F9" i="1"/>
  <c r="E9" i="1"/>
  <c r="D9" i="1"/>
  <c r="J8" i="1"/>
  <c r="H8" i="1"/>
  <c r="G8" i="1"/>
  <c r="F8" i="1"/>
  <c r="E8" i="1"/>
  <c r="D8" i="1"/>
  <c r="I8" i="1" s="1"/>
  <c r="J7" i="1"/>
  <c r="H7" i="1"/>
  <c r="G7" i="1"/>
  <c r="F7" i="1"/>
  <c r="E7" i="1"/>
  <c r="D7" i="1"/>
  <c r="J6" i="1"/>
  <c r="H6" i="1"/>
  <c r="G6" i="1"/>
  <c r="F6" i="1"/>
  <c r="E6" i="1"/>
  <c r="D6" i="1"/>
  <c r="I6" i="1" s="1"/>
  <c r="J5" i="1"/>
  <c r="H5" i="1"/>
  <c r="G5" i="1"/>
  <c r="F5" i="1"/>
  <c r="E5" i="1"/>
  <c r="D5" i="1"/>
  <c r="H7" i="3" l="1"/>
  <c r="I10" i="1"/>
  <c r="I16" i="1"/>
  <c r="M16" i="1" s="1"/>
  <c r="N16" i="1" s="1"/>
  <c r="I22" i="1"/>
  <c r="D23" i="1"/>
  <c r="I7" i="1"/>
  <c r="I9" i="1"/>
  <c r="I13" i="1"/>
  <c r="K13" i="1" s="1"/>
  <c r="I15" i="1"/>
  <c r="I19" i="1"/>
  <c r="K19" i="1" s="1"/>
  <c r="I21" i="1"/>
  <c r="M21" i="1" s="1"/>
  <c r="N21" i="1" s="1"/>
  <c r="G23" i="5"/>
  <c r="E23" i="1"/>
  <c r="F23" i="1"/>
  <c r="H7" i="5"/>
  <c r="G23" i="1"/>
  <c r="H23" i="1"/>
  <c r="I11" i="1"/>
  <c r="I17" i="1"/>
  <c r="M17" i="1" s="1"/>
  <c r="N17" i="1" s="1"/>
  <c r="G23" i="6"/>
  <c r="J23" i="1"/>
  <c r="G23" i="4"/>
  <c r="M10" i="1"/>
  <c r="N10" i="1" s="1"/>
  <c r="K10" i="1"/>
  <c r="K16" i="1"/>
  <c r="H23" i="4"/>
  <c r="H23" i="3"/>
  <c r="M22" i="1"/>
  <c r="N22" i="1" s="1"/>
  <c r="K22" i="1"/>
  <c r="K7" i="1"/>
  <c r="M7" i="1"/>
  <c r="N7" i="1" s="1"/>
  <c r="M15" i="1"/>
  <c r="N15" i="1" s="1"/>
  <c r="K15" i="1"/>
  <c r="H23" i="5"/>
  <c r="K11" i="1"/>
  <c r="M11" i="1"/>
  <c r="N11" i="1" s="1"/>
  <c r="M9" i="1"/>
  <c r="N9" i="1" s="1"/>
  <c r="K9" i="1"/>
  <c r="M6" i="1"/>
  <c r="N6" i="1" s="1"/>
  <c r="K6" i="1"/>
  <c r="M8" i="1"/>
  <c r="N8" i="1" s="1"/>
  <c r="K8" i="1"/>
  <c r="M12" i="1"/>
  <c r="N12" i="1" s="1"/>
  <c r="K12" i="1"/>
  <c r="M14" i="1"/>
  <c r="N14" i="1" s="1"/>
  <c r="K14" i="1"/>
  <c r="K18" i="1"/>
  <c r="M18" i="1"/>
  <c r="N18" i="1" s="1"/>
  <c r="M20" i="1"/>
  <c r="N20" i="1" s="1"/>
  <c r="K20" i="1"/>
  <c r="I5" i="1"/>
  <c r="H7" i="2"/>
  <c r="H23" i="2" s="1"/>
  <c r="H7" i="6"/>
  <c r="H23" i="6" s="1"/>
  <c r="K21" i="1" l="1"/>
  <c r="M19" i="1"/>
  <c r="N19" i="1" s="1"/>
  <c r="M13" i="1"/>
  <c r="N13" i="1" s="1"/>
  <c r="K17" i="1"/>
  <c r="M5" i="1"/>
  <c r="K5" i="1"/>
  <c r="K23" i="1" s="1"/>
  <c r="I23" i="1"/>
  <c r="M23" i="1" l="1"/>
  <c r="N5" i="1"/>
</calcChain>
</file>

<file path=xl/sharedStrings.xml><?xml version="1.0" encoding="utf-8"?>
<sst xmlns="http://schemas.openxmlformats.org/spreadsheetml/2006/main" count="501" uniqueCount="113">
  <si>
    <t>PetHaven - stock across all stores as at 3 Oct 2026 16:10 (Sydney)</t>
  </si>
  <si>
    <t>Source: pethaven_demo database, view dw.rpt_current_stock_by_store (website numbers: dw.rpt_online_vs_actual), extracted 3 Oct 2026 16:10 (Sydney)</t>
  </si>
  <si>
    <t>Product code</t>
  </si>
  <si>
    <t>Product</t>
  </si>
  <si>
    <t>Category</t>
  </si>
  <si>
    <t>Parramatta
in store</t>
  </si>
  <si>
    <t>Bondi
in store</t>
  </si>
  <si>
    <t>Chatswood
in store</t>
  </si>
  <si>
    <t>Newtown
in store</t>
  </si>
  <si>
    <t>Penrith
in store</t>
  </si>
  <si>
    <t>Total in store</t>
  </si>
  <si>
    <t>Total reserved</t>
  </si>
  <si>
    <t>Total on hand</t>
  </si>
  <si>
    <t>Website shows</t>
  </si>
  <si>
    <t>Website minus real</t>
  </si>
  <si>
    <t>Website status</t>
  </si>
  <si>
    <t>P001</t>
  </si>
  <si>
    <t>Adult Dry Dog Food Chicken 3kg</t>
  </si>
  <si>
    <t>Food</t>
  </si>
  <si>
    <t>P002</t>
  </si>
  <si>
    <t>Puppy Dry Dog Food Lamb 3kg</t>
  </si>
  <si>
    <t>P003</t>
  </si>
  <si>
    <t>Wet Cat Food Tuna 12-pack</t>
  </si>
  <si>
    <t>P004</t>
  </si>
  <si>
    <t>Indoor Dry Cat Food 2kg</t>
  </si>
  <si>
    <t>P005</t>
  </si>
  <si>
    <t>Grain-Free Dog Treats 500g</t>
  </si>
  <si>
    <t>Treats</t>
  </si>
  <si>
    <t>P006</t>
  </si>
  <si>
    <t>Dental Chew Sticks 28-pack</t>
  </si>
  <si>
    <t>P007</t>
  </si>
  <si>
    <t>Catnip Mouse Toy 3-pack</t>
  </si>
  <si>
    <t>Toys</t>
  </si>
  <si>
    <t>P008</t>
  </si>
  <si>
    <t>Rope Tug Toy Large</t>
  </si>
  <si>
    <t>P009</t>
  </si>
  <si>
    <t>Squeaky Plush Duck</t>
  </si>
  <si>
    <t>P010</t>
  </si>
  <si>
    <t>Interactive Feather Wand</t>
  </si>
  <si>
    <t>P011</t>
  </si>
  <si>
    <t>Adjustable Nylon Dog Collar M</t>
  </si>
  <si>
    <t>Accessories</t>
  </si>
  <si>
    <t>P012</t>
  </si>
  <si>
    <t>Retractable Dog Lead 5m</t>
  </si>
  <si>
    <t>P013</t>
  </si>
  <si>
    <t>Orthopaedic Dog Bed Large</t>
  </si>
  <si>
    <t>Bedding</t>
  </si>
  <si>
    <t>P014</t>
  </si>
  <si>
    <t>Clumping Cat Litter 10L</t>
  </si>
  <si>
    <t>Hygiene</t>
  </si>
  <si>
    <t>P015</t>
  </si>
  <si>
    <t>Stainless Steel Pet Bowl 1L</t>
  </si>
  <si>
    <t>P016</t>
  </si>
  <si>
    <t>Flea and Tick Spot-On Dog 10-25kg</t>
  </si>
  <si>
    <t>Health</t>
  </si>
  <si>
    <t>P017</t>
  </si>
  <si>
    <t>Cat Scratching Post 80cm</t>
  </si>
  <si>
    <t>Furniture</t>
  </si>
  <si>
    <t>P018</t>
  </si>
  <si>
    <t>Aquarium Starter Kit 40L</t>
  </si>
  <si>
    <t>Aquatics</t>
  </si>
  <si>
    <t>Total</t>
  </si>
  <si>
    <t>Notes</t>
  </si>
  <si>
    <t>In store = on the shelf and free to sell. Reserved = held for online click-and-collect orders. Total on hand = in store + reserved.</t>
  </si>
  <si>
    <t>Website shows = the combined number the online store is currently showing (last sync, less online orders since). It is a value extracted from the database, not a formula.</t>
  </si>
  <si>
    <t>Website minus real = Website shows - Total in store. Positive: website overstates stock (oversell risk). Negative: website understates it. Zero: in sync.</t>
  </si>
  <si>
    <t>Low stock (store sheets) = 2 or fewer on the shelf. Store sheet quantities and prices are values extracted from the database; totals, on-hand and value columns are formulas.</t>
  </si>
  <si>
    <t>PetHaven Parramatta (S01) - stock as at 3 Oct 2026 16:10 (Sydney)</t>
  </si>
  <si>
    <t>Unit price ($)</t>
  </si>
  <si>
    <t>In store</t>
  </si>
  <si>
    <t>Reserved</t>
  </si>
  <si>
    <t>Stock value ($)</t>
  </si>
  <si>
    <t>Low stock</t>
  </si>
  <si>
    <t>Last change</t>
  </si>
  <si>
    <t>2026-10-02 09:35</t>
  </si>
  <si>
    <t>2026-10-01 10:30</t>
  </si>
  <si>
    <t>2026-09-29 10:05</t>
  </si>
  <si>
    <t>2026-09-26 07:00</t>
  </si>
  <si>
    <t>2026-09-28 09:20</t>
  </si>
  <si>
    <t>2026-10-02 21:10</t>
  </si>
  <si>
    <t>2026-09-27 09:42</t>
  </si>
  <si>
    <t>2026-09-29 19:05</t>
  </si>
  <si>
    <t>2026-09-29 07:10</t>
  </si>
  <si>
    <t>2026-09-30 10:10</t>
  </si>
  <si>
    <t>PetHaven Bondi (S02) - stock as at 3 Oct 2026 16:10 (Sydney)</t>
  </si>
  <si>
    <t>2026-09-29 11:20</t>
  </si>
  <si>
    <t>2026-09-29 18:00</t>
  </si>
  <si>
    <t>2026-09-28 10:55</t>
  </si>
  <si>
    <t>2026-10-02 10:00</t>
  </si>
  <si>
    <t>2026-10-01 11:45</t>
  </si>
  <si>
    <t>2026-10-01 09:15</t>
  </si>
  <si>
    <t>PetHaven Chatswood (S03) - stock as at 3 Oct 2026 16:10 (Sydney)</t>
  </si>
  <si>
    <t>2026-10-02 06:20</t>
  </si>
  <si>
    <t>2026-10-02 19:45</t>
  </si>
  <si>
    <t>2026-09-27 13:05</t>
  </si>
  <si>
    <t>2026-10-01 17:00</t>
  </si>
  <si>
    <t>2026-10-02 12:15</t>
  </si>
  <si>
    <t>2026-10-01 13:00</t>
  </si>
  <si>
    <t>2026-09-29 12:45</t>
  </si>
  <si>
    <t>2026-09-30 11:35</t>
  </si>
  <si>
    <t>PetHaven Newtown (S04) - stock as at 3 Oct 2026 16:10 (Sydney)</t>
  </si>
  <si>
    <t>2026-09-29 06:45</t>
  </si>
  <si>
    <t>2026-09-29 15:15</t>
  </si>
  <si>
    <t>2026-09-28 14:25</t>
  </si>
  <si>
    <t>2026-10-01 15:30</t>
  </si>
  <si>
    <t>2026-10-02 14:05</t>
  </si>
  <si>
    <t>2026-09-30 14:20</t>
  </si>
  <si>
    <t>PetHaven Penrith (S05) - stock as at 3 Oct 2026 16:10 (Sydney)</t>
  </si>
  <si>
    <t>2026-09-29 17:30</t>
  </si>
  <si>
    <t>2026-09-28 16:40</t>
  </si>
  <si>
    <t>2026-09-30 16:05</t>
  </si>
  <si>
    <t>2026-10-02 06:50</t>
  </si>
  <si>
    <t>2026-10-01 16:50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</si>
</sst>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C0000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 style="medium">
        <color rgb="FF1F4E7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3" fontId="4" fillId="0" borderId="0" xfId="0" applyNumberFormat="1" applyFont="1"/>
    <xf numFmtId="0" fontId="6" fillId="3" borderId="1" xfId="0" applyFont="1" applyFill="1" applyBorder="1"/>
    <xf numFmtId="3" fontId="6" fillId="3" borderId="1" xfId="0" applyNumberFormat="1" applyFont="1" applyFill="1" applyBorder="1"/>
    <xf numFmtId="0" fontId="6" fillId="0" borderId="0" xfId="0" applyFont="1"/>
    <xf numFmtId="164" fontId="4" fillId="0" borderId="0" xfId="0" applyNumberFormat="1" applyFont="1"/>
    <xf numFmtId="0" fontId="5" fillId="0" borderId="0" xfId="0" applyFont="1" applyAlignment="1">
      <alignment horizontal="center"/>
    </xf>
    <xf numFmtId="164" fontId="6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34" customWidth="1"/>
    <col min="3" max="3" width="13" customWidth="1"/>
    <col min="4" max="12" width="11" customWidth="1"/>
    <col min="13" max="13" width="12" customWidth="1"/>
    <col min="14" max="14" width="22" customWidth="1"/>
  </cols>
  <sheetData>
    <row r="1" spans="1:14" ht="17.399999999999999" x14ac:dyDescent="0.3">
      <c r="A1" s="1" t="s">
        <v>0</v>
      </c>
    </row>
    <row r="2" spans="1:14" x14ac:dyDescent="0.3">
      <c r="A2" s="2" t="s">
        <v>1</v>
      </c>
    </row>
    <row r="4" spans="1:14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spans="1:14" x14ac:dyDescent="0.3">
      <c r="A5" s="4" t="s">
        <v>16</v>
      </c>
      <c r="B5" s="4" t="s">
        <v>17</v>
      </c>
      <c r="C5" s="4" t="s">
        <v>18</v>
      </c>
      <c r="D5" s="5">
        <f>INDEX(Parramatta!$E$5:$E$22,MATCH($A5,Parramatta!$A$5:$A$22,0))</f>
        <v>37</v>
      </c>
      <c r="E5" s="5">
        <f>INDEX(Bondi!$E$5:$E$22,MATCH($A5,Bondi!$A$5:$A$22,0))</f>
        <v>27</v>
      </c>
      <c r="F5" s="5">
        <f>INDEX(Chatswood!$E$5:$E$22,MATCH($A5,Chatswood!$A$5:$A$22,0))</f>
        <v>53</v>
      </c>
      <c r="G5" s="5">
        <f>INDEX(Newtown!$E$5:$E$22,MATCH($A5,Newtown!$A$5:$A$22,0))</f>
        <v>20</v>
      </c>
      <c r="H5" s="5">
        <f>INDEX(Penrith!$E$5:$E$22,MATCH($A5,Penrith!$A$5:$A$22,0))</f>
        <v>46</v>
      </c>
      <c r="I5" s="5">
        <f t="shared" ref="I5:I22" si="0">SUM(D5:H5)</f>
        <v>183</v>
      </c>
      <c r="J5" s="5">
        <f>INDEX(Parramatta!$F$5:$F$22,MATCH($A5,Parramatta!$A$5:$A$22,0))+INDEX(Bondi!$F$5:$F$22,MATCH($A5,Bondi!$A$5:$A$22,0))+INDEX(Chatswood!$F$5:$F$22,MATCH($A5,Chatswood!$A$5:$A$22,0))+INDEX(Newtown!$F$5:$F$22,MATCH($A5,Newtown!$A$5:$A$22,0))+INDEX(Penrith!$F$5:$F$22,MATCH($A5,Penrith!$A$5:$A$22,0))</f>
        <v>0</v>
      </c>
      <c r="K5" s="5">
        <f t="shared" ref="K5:K22" si="1">I5+J5</f>
        <v>183</v>
      </c>
      <c r="L5" s="5">
        <v>183</v>
      </c>
      <c r="M5" s="5">
        <f t="shared" ref="M5:M22" si="2">IF(L5="","",L5-I5)</f>
        <v>0</v>
      </c>
      <c r="N5" s="4" t="str">
        <f t="shared" ref="N5:N22" si="3">IF(L5="","not sold online",IF(M5&gt;0,"overstated - oversell risk",IF(M5&lt;0,"understated","in sync")))</f>
        <v>in sync</v>
      </c>
    </row>
    <row r="6" spans="1:14" x14ac:dyDescent="0.3">
      <c r="A6" s="4" t="s">
        <v>19</v>
      </c>
      <c r="B6" s="4" t="s">
        <v>20</v>
      </c>
      <c r="C6" s="4" t="s">
        <v>18</v>
      </c>
      <c r="D6" s="5">
        <f>INDEX(Parramatta!$E$5:$E$22,MATCH($A6,Parramatta!$A$5:$A$22,0))</f>
        <v>14</v>
      </c>
      <c r="E6" s="5">
        <f>INDEX(Bondi!$E$5:$E$22,MATCH($A6,Bondi!$A$5:$A$22,0))</f>
        <v>12</v>
      </c>
      <c r="F6" s="5">
        <f>INDEX(Chatswood!$E$5:$E$22,MATCH($A6,Chatswood!$A$5:$A$22,0))</f>
        <v>20</v>
      </c>
      <c r="G6" s="5">
        <f>INDEX(Newtown!$E$5:$E$22,MATCH($A6,Newtown!$A$5:$A$22,0))</f>
        <v>20</v>
      </c>
      <c r="H6" s="5">
        <f>INDEX(Penrith!$E$5:$E$22,MATCH($A6,Penrith!$A$5:$A$22,0))</f>
        <v>23</v>
      </c>
      <c r="I6" s="5">
        <f t="shared" si="0"/>
        <v>89</v>
      </c>
      <c r="J6" s="5">
        <f>INDEX(Parramatta!$F$5:$F$22,MATCH($A6,Parramatta!$A$5:$A$22,0))+INDEX(Bondi!$F$5:$F$22,MATCH($A6,Bondi!$A$5:$A$22,0))+INDEX(Chatswood!$F$5:$F$22,MATCH($A6,Chatswood!$A$5:$A$22,0))+INDEX(Newtown!$F$5:$F$22,MATCH($A6,Newtown!$A$5:$A$22,0))+INDEX(Penrith!$F$5:$F$22,MATCH($A6,Penrith!$A$5:$A$22,0))</f>
        <v>0</v>
      </c>
      <c r="K6" s="5">
        <f t="shared" si="1"/>
        <v>89</v>
      </c>
      <c r="L6" s="5">
        <v>89</v>
      </c>
      <c r="M6" s="5">
        <f t="shared" si="2"/>
        <v>0</v>
      </c>
      <c r="N6" s="4" t="str">
        <f t="shared" si="3"/>
        <v>in sync</v>
      </c>
    </row>
    <row r="7" spans="1:14" x14ac:dyDescent="0.3">
      <c r="A7" s="4" t="s">
        <v>21</v>
      </c>
      <c r="B7" s="4" t="s">
        <v>22</v>
      </c>
      <c r="C7" s="4" t="s">
        <v>18</v>
      </c>
      <c r="D7" s="5">
        <f>INDEX(Parramatta!$E$5:$E$22,MATCH($A7,Parramatta!$A$5:$A$22,0))</f>
        <v>33</v>
      </c>
      <c r="E7" s="5">
        <f>INDEX(Bondi!$E$5:$E$22,MATCH($A7,Bondi!$A$5:$A$22,0))</f>
        <v>61</v>
      </c>
      <c r="F7" s="5">
        <f>INDEX(Chatswood!$E$5:$E$22,MATCH($A7,Chatswood!$A$5:$A$22,0))</f>
        <v>30</v>
      </c>
      <c r="G7" s="5">
        <f>INDEX(Newtown!$E$5:$E$22,MATCH($A7,Newtown!$A$5:$A$22,0))</f>
        <v>44</v>
      </c>
      <c r="H7" s="5">
        <f>INDEX(Penrith!$E$5:$E$22,MATCH($A7,Penrith!$A$5:$A$22,0))</f>
        <v>24</v>
      </c>
      <c r="I7" s="5">
        <f t="shared" si="0"/>
        <v>192</v>
      </c>
      <c r="J7" s="5">
        <f>INDEX(Parramatta!$F$5:$F$22,MATCH($A7,Parramatta!$A$5:$A$22,0))+INDEX(Bondi!$F$5:$F$22,MATCH($A7,Bondi!$A$5:$A$22,0))+INDEX(Chatswood!$F$5:$F$22,MATCH($A7,Chatswood!$A$5:$A$22,0))+INDEX(Newtown!$F$5:$F$22,MATCH($A7,Newtown!$A$5:$A$22,0))+INDEX(Penrith!$F$5:$F$22,MATCH($A7,Penrith!$A$5:$A$22,0))</f>
        <v>0</v>
      </c>
      <c r="K7" s="5">
        <f t="shared" si="1"/>
        <v>192</v>
      </c>
      <c r="L7" s="5">
        <v>192</v>
      </c>
      <c r="M7" s="5">
        <f t="shared" si="2"/>
        <v>0</v>
      </c>
      <c r="N7" s="4" t="str">
        <f t="shared" si="3"/>
        <v>in sync</v>
      </c>
    </row>
    <row r="8" spans="1:14" x14ac:dyDescent="0.3">
      <c r="A8" s="4" t="s">
        <v>23</v>
      </c>
      <c r="B8" s="4" t="s">
        <v>24</v>
      </c>
      <c r="C8" s="4" t="s">
        <v>18</v>
      </c>
      <c r="D8" s="5">
        <f>INDEX(Parramatta!$E$5:$E$22,MATCH($A8,Parramatta!$A$5:$A$22,0))</f>
        <v>18</v>
      </c>
      <c r="E8" s="5">
        <f>INDEX(Bondi!$E$5:$E$22,MATCH($A8,Bondi!$A$5:$A$22,0))</f>
        <v>24</v>
      </c>
      <c r="F8" s="5">
        <f>INDEX(Chatswood!$E$5:$E$22,MATCH($A8,Chatswood!$A$5:$A$22,0))</f>
        <v>16</v>
      </c>
      <c r="G8" s="5">
        <f>INDEX(Newtown!$E$5:$E$22,MATCH($A8,Newtown!$A$5:$A$22,0))</f>
        <v>28</v>
      </c>
      <c r="H8" s="5">
        <f>INDEX(Penrith!$E$5:$E$22,MATCH($A8,Penrith!$A$5:$A$22,0))</f>
        <v>12</v>
      </c>
      <c r="I8" s="5">
        <f t="shared" si="0"/>
        <v>98</v>
      </c>
      <c r="J8" s="5">
        <f>INDEX(Parramatta!$F$5:$F$22,MATCH($A8,Parramatta!$A$5:$A$22,0))+INDEX(Bondi!$F$5:$F$22,MATCH($A8,Bondi!$A$5:$A$22,0))+INDEX(Chatswood!$F$5:$F$22,MATCH($A8,Chatswood!$A$5:$A$22,0))+INDEX(Newtown!$F$5:$F$22,MATCH($A8,Newtown!$A$5:$A$22,0))+INDEX(Penrith!$F$5:$F$22,MATCH($A8,Penrith!$A$5:$A$22,0))</f>
        <v>2</v>
      </c>
      <c r="K8" s="5">
        <f t="shared" si="1"/>
        <v>100</v>
      </c>
      <c r="L8" s="5">
        <v>98</v>
      </c>
      <c r="M8" s="5">
        <f t="shared" si="2"/>
        <v>0</v>
      </c>
      <c r="N8" s="4" t="str">
        <f t="shared" si="3"/>
        <v>in sync</v>
      </c>
    </row>
    <row r="9" spans="1:14" x14ac:dyDescent="0.3">
      <c r="A9" s="4" t="s">
        <v>25</v>
      </c>
      <c r="B9" s="4" t="s">
        <v>26</v>
      </c>
      <c r="C9" s="4" t="s">
        <v>27</v>
      </c>
      <c r="D9" s="5">
        <f>INDEX(Parramatta!$E$5:$E$22,MATCH($A9,Parramatta!$A$5:$A$22,0))</f>
        <v>57</v>
      </c>
      <c r="E9" s="5">
        <f>INDEX(Bondi!$E$5:$E$22,MATCH($A9,Bondi!$A$5:$A$22,0))</f>
        <v>36</v>
      </c>
      <c r="F9" s="5">
        <f>INDEX(Chatswood!$E$5:$E$22,MATCH($A9,Chatswood!$A$5:$A$22,0))</f>
        <v>44</v>
      </c>
      <c r="G9" s="5">
        <f>INDEX(Newtown!$E$5:$E$22,MATCH($A9,Newtown!$A$5:$A$22,0))</f>
        <v>33</v>
      </c>
      <c r="H9" s="5">
        <f>INDEX(Penrith!$E$5:$E$22,MATCH($A9,Penrith!$A$5:$A$22,0))</f>
        <v>60</v>
      </c>
      <c r="I9" s="5">
        <f t="shared" si="0"/>
        <v>230</v>
      </c>
      <c r="J9" s="5">
        <f>INDEX(Parramatta!$F$5:$F$22,MATCH($A9,Parramatta!$A$5:$A$22,0))+INDEX(Bondi!$F$5:$F$22,MATCH($A9,Bondi!$A$5:$A$22,0))+INDEX(Chatswood!$F$5:$F$22,MATCH($A9,Chatswood!$A$5:$A$22,0))+INDEX(Newtown!$F$5:$F$22,MATCH($A9,Newtown!$A$5:$A$22,0))+INDEX(Penrith!$F$5:$F$22,MATCH($A9,Penrith!$A$5:$A$22,0))</f>
        <v>0</v>
      </c>
      <c r="K9" s="5">
        <f t="shared" si="1"/>
        <v>230</v>
      </c>
      <c r="L9" s="5">
        <v>230</v>
      </c>
      <c r="M9" s="5">
        <f t="shared" si="2"/>
        <v>0</v>
      </c>
      <c r="N9" s="4" t="str">
        <f t="shared" si="3"/>
        <v>in sync</v>
      </c>
    </row>
    <row r="10" spans="1:14" x14ac:dyDescent="0.3">
      <c r="A10" s="4" t="s">
        <v>28</v>
      </c>
      <c r="B10" s="4" t="s">
        <v>29</v>
      </c>
      <c r="C10" s="4" t="s">
        <v>27</v>
      </c>
      <c r="D10" s="5">
        <f>INDEX(Parramatta!$E$5:$E$22,MATCH($A10,Parramatta!$A$5:$A$22,0))</f>
        <v>29</v>
      </c>
      <c r="E10" s="5">
        <f>INDEX(Bondi!$E$5:$E$22,MATCH($A10,Bondi!$A$5:$A$22,0))</f>
        <v>24</v>
      </c>
      <c r="F10" s="5">
        <f>INDEX(Chatswood!$E$5:$E$22,MATCH($A10,Chatswood!$A$5:$A$22,0))</f>
        <v>29</v>
      </c>
      <c r="G10" s="5">
        <f>INDEX(Newtown!$E$5:$E$22,MATCH($A10,Newtown!$A$5:$A$22,0))</f>
        <v>18</v>
      </c>
      <c r="H10" s="5">
        <f>INDEX(Penrith!$E$5:$E$22,MATCH($A10,Penrith!$A$5:$A$22,0))</f>
        <v>34</v>
      </c>
      <c r="I10" s="5">
        <f t="shared" si="0"/>
        <v>134</v>
      </c>
      <c r="J10" s="5">
        <f>INDEX(Parramatta!$F$5:$F$22,MATCH($A10,Parramatta!$A$5:$A$22,0))+INDEX(Bondi!$F$5:$F$22,MATCH($A10,Bondi!$A$5:$A$22,0))+INDEX(Chatswood!$F$5:$F$22,MATCH($A10,Chatswood!$A$5:$A$22,0))+INDEX(Newtown!$F$5:$F$22,MATCH($A10,Newtown!$A$5:$A$22,0))+INDEX(Penrith!$F$5:$F$22,MATCH($A10,Penrith!$A$5:$A$22,0))</f>
        <v>0</v>
      </c>
      <c r="K10" s="5">
        <f t="shared" si="1"/>
        <v>134</v>
      </c>
      <c r="L10" s="5">
        <v>134</v>
      </c>
      <c r="M10" s="5">
        <f t="shared" si="2"/>
        <v>0</v>
      </c>
      <c r="N10" s="4" t="str">
        <f t="shared" si="3"/>
        <v>in sync</v>
      </c>
    </row>
    <row r="11" spans="1:14" x14ac:dyDescent="0.3">
      <c r="A11" s="4" t="s">
        <v>30</v>
      </c>
      <c r="B11" s="4" t="s">
        <v>31</v>
      </c>
      <c r="C11" s="4" t="s">
        <v>32</v>
      </c>
      <c r="D11" s="5">
        <f>INDEX(Parramatta!$E$5:$E$22,MATCH($A11,Parramatta!$A$5:$A$22,0))</f>
        <v>24</v>
      </c>
      <c r="E11" s="5">
        <f>INDEX(Bondi!$E$5:$E$22,MATCH($A11,Bondi!$A$5:$A$22,0))</f>
        <v>36</v>
      </c>
      <c r="F11" s="5">
        <f>INDEX(Chatswood!$E$5:$E$22,MATCH($A11,Chatswood!$A$5:$A$22,0))</f>
        <v>12</v>
      </c>
      <c r="G11" s="5">
        <f>INDEX(Newtown!$E$5:$E$22,MATCH($A11,Newtown!$A$5:$A$22,0))</f>
        <v>33</v>
      </c>
      <c r="H11" s="5">
        <f>INDEX(Penrith!$E$5:$E$22,MATCH($A11,Penrith!$A$5:$A$22,0))</f>
        <v>24</v>
      </c>
      <c r="I11" s="5">
        <f t="shared" si="0"/>
        <v>129</v>
      </c>
      <c r="J11" s="5">
        <f>INDEX(Parramatta!$F$5:$F$22,MATCH($A11,Parramatta!$A$5:$A$22,0))+INDEX(Bondi!$F$5:$F$22,MATCH($A11,Bondi!$A$5:$A$22,0))+INDEX(Chatswood!$F$5:$F$22,MATCH($A11,Chatswood!$A$5:$A$22,0))+INDEX(Newtown!$F$5:$F$22,MATCH($A11,Newtown!$A$5:$A$22,0))+INDEX(Penrith!$F$5:$F$22,MATCH($A11,Penrith!$A$5:$A$22,0))</f>
        <v>0</v>
      </c>
      <c r="K11" s="5">
        <f t="shared" si="1"/>
        <v>129</v>
      </c>
      <c r="L11" s="5">
        <v>129</v>
      </c>
      <c r="M11" s="5">
        <f t="shared" si="2"/>
        <v>0</v>
      </c>
      <c r="N11" s="4" t="str">
        <f t="shared" si="3"/>
        <v>in sync</v>
      </c>
    </row>
    <row r="12" spans="1:14" x14ac:dyDescent="0.3">
      <c r="A12" s="4" t="s">
        <v>33</v>
      </c>
      <c r="B12" s="4" t="s">
        <v>34</v>
      </c>
      <c r="C12" s="4" t="s">
        <v>32</v>
      </c>
      <c r="D12" s="5">
        <f>INDEX(Parramatta!$E$5:$E$22,MATCH($A12,Parramatta!$A$5:$A$22,0))</f>
        <v>15</v>
      </c>
      <c r="E12" s="5">
        <f>INDEX(Bondi!$E$5:$E$22,MATCH($A12,Bondi!$A$5:$A$22,0))</f>
        <v>12</v>
      </c>
      <c r="F12" s="5">
        <f>INDEX(Chatswood!$E$5:$E$22,MATCH($A12,Chatswood!$A$5:$A$22,0))</f>
        <v>12</v>
      </c>
      <c r="G12" s="5">
        <f>INDEX(Newtown!$E$5:$E$22,MATCH($A12,Newtown!$A$5:$A$22,0))</f>
        <v>8</v>
      </c>
      <c r="H12" s="5">
        <f>INDEX(Penrith!$E$5:$E$22,MATCH($A12,Penrith!$A$5:$A$22,0))</f>
        <v>12</v>
      </c>
      <c r="I12" s="5">
        <f t="shared" si="0"/>
        <v>59</v>
      </c>
      <c r="J12" s="5">
        <f>INDEX(Parramatta!$F$5:$F$22,MATCH($A12,Parramatta!$A$5:$A$22,0))+INDEX(Bondi!$F$5:$F$22,MATCH($A12,Bondi!$A$5:$A$22,0))+INDEX(Chatswood!$F$5:$F$22,MATCH($A12,Chatswood!$A$5:$A$22,0))+INDEX(Newtown!$F$5:$F$22,MATCH($A12,Newtown!$A$5:$A$22,0))+INDEX(Penrith!$F$5:$F$22,MATCH($A12,Penrith!$A$5:$A$22,0))</f>
        <v>1</v>
      </c>
      <c r="K12" s="5">
        <f t="shared" si="1"/>
        <v>60</v>
      </c>
      <c r="L12" s="5">
        <v>59</v>
      </c>
      <c r="M12" s="5">
        <f t="shared" si="2"/>
        <v>0</v>
      </c>
      <c r="N12" s="4" t="str">
        <f t="shared" si="3"/>
        <v>in sync</v>
      </c>
    </row>
    <row r="13" spans="1:14" x14ac:dyDescent="0.3">
      <c r="A13" s="4" t="s">
        <v>35</v>
      </c>
      <c r="B13" s="4" t="s">
        <v>36</v>
      </c>
      <c r="C13" s="4" t="s">
        <v>32</v>
      </c>
      <c r="D13" s="5">
        <f>INDEX(Parramatta!$E$5:$E$22,MATCH($A13,Parramatta!$A$5:$A$22,0))</f>
        <v>24</v>
      </c>
      <c r="E13" s="5">
        <f>INDEX(Bondi!$E$5:$E$22,MATCH($A13,Bondi!$A$5:$A$22,0))</f>
        <v>16</v>
      </c>
      <c r="F13" s="5">
        <f>INDEX(Chatswood!$E$5:$E$22,MATCH($A13,Chatswood!$A$5:$A$22,0))</f>
        <v>24</v>
      </c>
      <c r="G13" s="5">
        <f>INDEX(Newtown!$E$5:$E$22,MATCH($A13,Newtown!$A$5:$A$22,0))</f>
        <v>11</v>
      </c>
      <c r="H13" s="5">
        <f>INDEX(Penrith!$E$5:$E$22,MATCH($A13,Penrith!$A$5:$A$22,0))</f>
        <v>18</v>
      </c>
      <c r="I13" s="5">
        <f t="shared" si="0"/>
        <v>93</v>
      </c>
      <c r="J13" s="5">
        <f>INDEX(Parramatta!$F$5:$F$22,MATCH($A13,Parramatta!$A$5:$A$22,0))+INDEX(Bondi!$F$5:$F$22,MATCH($A13,Bondi!$A$5:$A$22,0))+INDEX(Chatswood!$F$5:$F$22,MATCH($A13,Chatswood!$A$5:$A$22,0))+INDEX(Newtown!$F$5:$F$22,MATCH($A13,Newtown!$A$5:$A$22,0))+INDEX(Penrith!$F$5:$F$22,MATCH($A13,Penrith!$A$5:$A$22,0))</f>
        <v>0</v>
      </c>
      <c r="K13" s="5">
        <f t="shared" si="1"/>
        <v>93</v>
      </c>
      <c r="L13" s="5">
        <v>93</v>
      </c>
      <c r="M13" s="5">
        <f t="shared" si="2"/>
        <v>0</v>
      </c>
      <c r="N13" s="4" t="str">
        <f t="shared" si="3"/>
        <v>in sync</v>
      </c>
    </row>
    <row r="14" spans="1:14" x14ac:dyDescent="0.3">
      <c r="A14" s="4" t="s">
        <v>37</v>
      </c>
      <c r="B14" s="4" t="s">
        <v>38</v>
      </c>
      <c r="C14" s="4" t="s">
        <v>32</v>
      </c>
      <c r="D14" s="5">
        <f>INDEX(Parramatta!$E$5:$E$22,MATCH($A14,Parramatta!$A$5:$A$22,0))</f>
        <v>18</v>
      </c>
      <c r="E14" s="5">
        <f>INDEX(Bondi!$E$5:$E$22,MATCH($A14,Bondi!$A$5:$A$22,0))</f>
        <v>17</v>
      </c>
      <c r="F14" s="5">
        <f>INDEX(Chatswood!$E$5:$E$22,MATCH($A14,Chatswood!$A$5:$A$22,0))</f>
        <v>8</v>
      </c>
      <c r="G14" s="5">
        <f>INDEX(Newtown!$E$5:$E$22,MATCH($A14,Newtown!$A$5:$A$22,0))</f>
        <v>24</v>
      </c>
      <c r="H14" s="5">
        <f>INDEX(Penrith!$E$5:$E$22,MATCH($A14,Penrith!$A$5:$A$22,0))</f>
        <v>12</v>
      </c>
      <c r="I14" s="5">
        <f t="shared" si="0"/>
        <v>79</v>
      </c>
      <c r="J14" s="5">
        <f>INDEX(Parramatta!$F$5:$F$22,MATCH($A14,Parramatta!$A$5:$A$22,0))+INDEX(Bondi!$F$5:$F$22,MATCH($A14,Bondi!$A$5:$A$22,0))+INDEX(Chatswood!$F$5:$F$22,MATCH($A14,Chatswood!$A$5:$A$22,0))+INDEX(Newtown!$F$5:$F$22,MATCH($A14,Newtown!$A$5:$A$22,0))+INDEX(Penrith!$F$5:$F$22,MATCH($A14,Penrith!$A$5:$A$22,0))</f>
        <v>0</v>
      </c>
      <c r="K14" s="5">
        <f t="shared" si="1"/>
        <v>79</v>
      </c>
      <c r="L14" s="5">
        <v>79</v>
      </c>
      <c r="M14" s="5">
        <f t="shared" si="2"/>
        <v>0</v>
      </c>
      <c r="N14" s="4" t="str">
        <f t="shared" si="3"/>
        <v>in sync</v>
      </c>
    </row>
    <row r="15" spans="1:14" x14ac:dyDescent="0.3">
      <c r="A15" s="4" t="s">
        <v>39</v>
      </c>
      <c r="B15" s="4" t="s">
        <v>40</v>
      </c>
      <c r="C15" s="4" t="s">
        <v>41</v>
      </c>
      <c r="D15" s="5">
        <f>INDEX(Parramatta!$E$5:$E$22,MATCH($A15,Parramatta!$A$5:$A$22,0))</f>
        <v>12</v>
      </c>
      <c r="E15" s="5">
        <f>INDEX(Bondi!$E$5:$E$22,MATCH($A15,Bondi!$A$5:$A$22,0))</f>
        <v>12</v>
      </c>
      <c r="F15" s="5">
        <f>INDEX(Chatswood!$E$5:$E$22,MATCH($A15,Chatswood!$A$5:$A$22,0))</f>
        <v>18</v>
      </c>
      <c r="G15" s="5">
        <f>INDEX(Newtown!$E$5:$E$22,MATCH($A15,Newtown!$A$5:$A$22,0))</f>
        <v>4</v>
      </c>
      <c r="H15" s="5">
        <f>INDEX(Penrith!$E$5:$E$22,MATCH($A15,Penrith!$A$5:$A$22,0))</f>
        <v>12</v>
      </c>
      <c r="I15" s="5">
        <f t="shared" si="0"/>
        <v>58</v>
      </c>
      <c r="J15" s="5">
        <f>INDEX(Parramatta!$F$5:$F$22,MATCH($A15,Parramatta!$A$5:$A$22,0))+INDEX(Bondi!$F$5:$F$22,MATCH($A15,Bondi!$A$5:$A$22,0))+INDEX(Chatswood!$F$5:$F$22,MATCH($A15,Chatswood!$A$5:$A$22,0))+INDEX(Newtown!$F$5:$F$22,MATCH($A15,Newtown!$A$5:$A$22,0))+INDEX(Penrith!$F$5:$F$22,MATCH($A15,Penrith!$A$5:$A$22,0))</f>
        <v>0</v>
      </c>
      <c r="K15" s="5">
        <f t="shared" si="1"/>
        <v>58</v>
      </c>
      <c r="L15" s="5">
        <v>58</v>
      </c>
      <c r="M15" s="5">
        <f t="shared" si="2"/>
        <v>0</v>
      </c>
      <c r="N15" s="4" t="str">
        <f t="shared" si="3"/>
        <v>in sync</v>
      </c>
    </row>
    <row r="16" spans="1:14" x14ac:dyDescent="0.3">
      <c r="A16" s="4" t="s">
        <v>42</v>
      </c>
      <c r="B16" s="4" t="s">
        <v>43</v>
      </c>
      <c r="C16" s="4" t="s">
        <v>41</v>
      </c>
      <c r="D16" s="5">
        <f>INDEX(Parramatta!$E$5:$E$22,MATCH($A16,Parramatta!$A$5:$A$22,0))</f>
        <v>7</v>
      </c>
      <c r="E16" s="5">
        <f>INDEX(Bondi!$E$5:$E$22,MATCH($A16,Bondi!$A$5:$A$22,0))</f>
        <v>8</v>
      </c>
      <c r="F16" s="5">
        <f>INDEX(Chatswood!$E$5:$E$22,MATCH($A16,Chatswood!$A$5:$A$22,0))</f>
        <v>12</v>
      </c>
      <c r="G16" s="5">
        <f>INDEX(Newtown!$E$5:$E$22,MATCH($A16,Newtown!$A$5:$A$22,0))</f>
        <v>4</v>
      </c>
      <c r="H16" s="5">
        <f>INDEX(Penrith!$E$5:$E$22,MATCH($A16,Penrith!$A$5:$A$22,0))</f>
        <v>8</v>
      </c>
      <c r="I16" s="5">
        <f t="shared" si="0"/>
        <v>39</v>
      </c>
      <c r="J16" s="5">
        <f>INDEX(Parramatta!$F$5:$F$22,MATCH($A16,Parramatta!$A$5:$A$22,0))+INDEX(Bondi!$F$5:$F$22,MATCH($A16,Bondi!$A$5:$A$22,0))+INDEX(Chatswood!$F$5:$F$22,MATCH($A16,Chatswood!$A$5:$A$22,0))+INDEX(Newtown!$F$5:$F$22,MATCH($A16,Newtown!$A$5:$A$22,0))+INDEX(Penrith!$F$5:$F$22,MATCH($A16,Penrith!$A$5:$A$22,0))</f>
        <v>0</v>
      </c>
      <c r="K16" s="5">
        <f t="shared" si="1"/>
        <v>39</v>
      </c>
      <c r="L16" s="5">
        <v>39</v>
      </c>
      <c r="M16" s="5">
        <f t="shared" si="2"/>
        <v>0</v>
      </c>
      <c r="N16" s="4" t="str">
        <f t="shared" si="3"/>
        <v>in sync</v>
      </c>
    </row>
    <row r="17" spans="1:14" x14ac:dyDescent="0.3">
      <c r="A17" s="4" t="s">
        <v>44</v>
      </c>
      <c r="B17" s="4" t="s">
        <v>45</v>
      </c>
      <c r="C17" s="4" t="s">
        <v>46</v>
      </c>
      <c r="D17" s="5">
        <f>INDEX(Parramatta!$E$5:$E$22,MATCH($A17,Parramatta!$A$5:$A$22,0))</f>
        <v>0</v>
      </c>
      <c r="E17" s="5">
        <f>INDEX(Bondi!$E$5:$E$22,MATCH($A17,Bondi!$A$5:$A$22,0))</f>
        <v>1</v>
      </c>
      <c r="F17" s="5">
        <f>INDEX(Chatswood!$E$5:$E$22,MATCH($A17,Chatswood!$A$5:$A$22,0))</f>
        <v>3</v>
      </c>
      <c r="G17" s="5">
        <f>INDEX(Newtown!$E$5:$E$22,MATCH($A17,Newtown!$A$5:$A$22,0))</f>
        <v>1</v>
      </c>
      <c r="H17" s="5">
        <f>INDEX(Penrith!$E$5:$E$22,MATCH($A17,Penrith!$A$5:$A$22,0))</f>
        <v>1</v>
      </c>
      <c r="I17" s="5">
        <f t="shared" si="0"/>
        <v>6</v>
      </c>
      <c r="J17" s="5">
        <f>INDEX(Parramatta!$F$5:$F$22,MATCH($A17,Parramatta!$A$5:$A$22,0))+INDEX(Bondi!$F$5:$F$22,MATCH($A17,Bondi!$A$5:$A$22,0))+INDEX(Chatswood!$F$5:$F$22,MATCH($A17,Chatswood!$A$5:$A$22,0))+INDEX(Newtown!$F$5:$F$22,MATCH($A17,Newtown!$A$5:$A$22,0))+INDEX(Penrith!$F$5:$F$22,MATCH($A17,Penrith!$A$5:$A$22,0))</f>
        <v>2</v>
      </c>
      <c r="K17" s="5">
        <f t="shared" si="1"/>
        <v>8</v>
      </c>
      <c r="L17" s="5">
        <v>6</v>
      </c>
      <c r="M17" s="5">
        <f t="shared" si="2"/>
        <v>0</v>
      </c>
      <c r="N17" s="4" t="str">
        <f t="shared" si="3"/>
        <v>in sync</v>
      </c>
    </row>
    <row r="18" spans="1:14" x14ac:dyDescent="0.3">
      <c r="A18" s="4" t="s">
        <v>47</v>
      </c>
      <c r="B18" s="4" t="s">
        <v>48</v>
      </c>
      <c r="C18" s="4" t="s">
        <v>49</v>
      </c>
      <c r="D18" s="5">
        <f>INDEX(Parramatta!$E$5:$E$22,MATCH($A18,Parramatta!$A$5:$A$22,0))</f>
        <v>32</v>
      </c>
      <c r="E18" s="5">
        <f>INDEX(Bondi!$E$5:$E$22,MATCH($A18,Bondi!$A$5:$A$22,0))</f>
        <v>20</v>
      </c>
      <c r="F18" s="5">
        <f>INDEX(Chatswood!$E$5:$E$22,MATCH($A18,Chatswood!$A$5:$A$22,0))</f>
        <v>22</v>
      </c>
      <c r="G18" s="5">
        <f>INDEX(Newtown!$E$5:$E$22,MATCH($A18,Newtown!$A$5:$A$22,0))</f>
        <v>36</v>
      </c>
      <c r="H18" s="5">
        <f>INDEX(Penrith!$E$5:$E$22,MATCH($A18,Penrith!$A$5:$A$22,0))</f>
        <v>38</v>
      </c>
      <c r="I18" s="5">
        <f t="shared" si="0"/>
        <v>148</v>
      </c>
      <c r="J18" s="5">
        <f>INDEX(Parramatta!$F$5:$F$22,MATCH($A18,Parramatta!$A$5:$A$22,0))+INDEX(Bondi!$F$5:$F$22,MATCH($A18,Bondi!$A$5:$A$22,0))+INDEX(Chatswood!$F$5:$F$22,MATCH($A18,Chatswood!$A$5:$A$22,0))+INDEX(Newtown!$F$5:$F$22,MATCH($A18,Newtown!$A$5:$A$22,0))+INDEX(Penrith!$F$5:$F$22,MATCH($A18,Penrith!$A$5:$A$22,0))</f>
        <v>0</v>
      </c>
      <c r="K18" s="5">
        <f t="shared" si="1"/>
        <v>148</v>
      </c>
      <c r="L18" s="5">
        <v>148</v>
      </c>
      <c r="M18" s="5">
        <f t="shared" si="2"/>
        <v>0</v>
      </c>
      <c r="N18" s="4" t="str">
        <f t="shared" si="3"/>
        <v>in sync</v>
      </c>
    </row>
    <row r="19" spans="1:14" x14ac:dyDescent="0.3">
      <c r="A19" s="4" t="s">
        <v>50</v>
      </c>
      <c r="B19" s="4" t="s">
        <v>51</v>
      </c>
      <c r="C19" s="4" t="s">
        <v>41</v>
      </c>
      <c r="D19" s="5">
        <f>INDEX(Parramatta!$E$5:$E$22,MATCH($A19,Parramatta!$A$5:$A$22,0))</f>
        <v>24</v>
      </c>
      <c r="E19" s="5">
        <f>INDEX(Bondi!$E$5:$E$22,MATCH($A19,Bondi!$A$5:$A$22,0))</f>
        <v>17</v>
      </c>
      <c r="F19" s="5">
        <f>INDEX(Chatswood!$E$5:$E$22,MATCH($A19,Chatswood!$A$5:$A$22,0))</f>
        <v>18</v>
      </c>
      <c r="G19" s="5">
        <f>INDEX(Newtown!$E$5:$E$22,MATCH($A19,Newtown!$A$5:$A$22,0))</f>
        <v>18</v>
      </c>
      <c r="H19" s="5">
        <f>INDEX(Penrith!$E$5:$E$22,MATCH($A19,Penrith!$A$5:$A$22,0))</f>
        <v>24</v>
      </c>
      <c r="I19" s="5">
        <f t="shared" si="0"/>
        <v>101</v>
      </c>
      <c r="J19" s="5">
        <f>INDEX(Parramatta!$F$5:$F$22,MATCH($A19,Parramatta!$A$5:$A$22,0))+INDEX(Bondi!$F$5:$F$22,MATCH($A19,Bondi!$A$5:$A$22,0))+INDEX(Chatswood!$F$5:$F$22,MATCH($A19,Chatswood!$A$5:$A$22,0))+INDEX(Newtown!$F$5:$F$22,MATCH($A19,Newtown!$A$5:$A$22,0))+INDEX(Penrith!$F$5:$F$22,MATCH($A19,Penrith!$A$5:$A$22,0))</f>
        <v>0</v>
      </c>
      <c r="K19" s="5">
        <f t="shared" si="1"/>
        <v>101</v>
      </c>
      <c r="L19" s="5">
        <v>101</v>
      </c>
      <c r="M19" s="5">
        <f t="shared" si="2"/>
        <v>0</v>
      </c>
      <c r="N19" s="4" t="str">
        <f t="shared" si="3"/>
        <v>in sync</v>
      </c>
    </row>
    <row r="20" spans="1:14" x14ac:dyDescent="0.3">
      <c r="A20" s="4" t="s">
        <v>52</v>
      </c>
      <c r="B20" s="4" t="s">
        <v>53</v>
      </c>
      <c r="C20" s="4" t="s">
        <v>54</v>
      </c>
      <c r="D20" s="5">
        <f>INDEX(Parramatta!$E$5:$E$22,MATCH($A20,Parramatta!$A$5:$A$22,0))</f>
        <v>18</v>
      </c>
      <c r="E20" s="5">
        <f>INDEX(Bondi!$E$5:$E$22,MATCH($A20,Bondi!$A$5:$A$22,0))</f>
        <v>6</v>
      </c>
      <c r="F20" s="5">
        <f>INDEX(Chatswood!$E$5:$E$22,MATCH($A20,Chatswood!$A$5:$A$22,0))</f>
        <v>12</v>
      </c>
      <c r="G20" s="5">
        <f>INDEX(Newtown!$E$5:$E$22,MATCH($A20,Newtown!$A$5:$A$22,0))</f>
        <v>6</v>
      </c>
      <c r="H20" s="5">
        <f>INDEX(Penrith!$E$5:$E$22,MATCH($A20,Penrith!$A$5:$A$22,0))</f>
        <v>11</v>
      </c>
      <c r="I20" s="5">
        <f t="shared" si="0"/>
        <v>53</v>
      </c>
      <c r="J20" s="5">
        <f>INDEX(Parramatta!$F$5:$F$22,MATCH($A20,Parramatta!$A$5:$A$22,0))+INDEX(Bondi!$F$5:$F$22,MATCH($A20,Bondi!$A$5:$A$22,0))+INDEX(Chatswood!$F$5:$F$22,MATCH($A20,Chatswood!$A$5:$A$22,0))+INDEX(Newtown!$F$5:$F$22,MATCH($A20,Newtown!$A$5:$A$22,0))+INDEX(Penrith!$F$5:$F$22,MATCH($A20,Penrith!$A$5:$A$22,0))</f>
        <v>0</v>
      </c>
      <c r="K20" s="5">
        <f t="shared" si="1"/>
        <v>53</v>
      </c>
      <c r="L20" s="5">
        <v>53</v>
      </c>
      <c r="M20" s="5">
        <f t="shared" si="2"/>
        <v>0</v>
      </c>
      <c r="N20" s="4" t="str">
        <f t="shared" si="3"/>
        <v>in sync</v>
      </c>
    </row>
    <row r="21" spans="1:14" x14ac:dyDescent="0.3">
      <c r="A21" s="4" t="s">
        <v>55</v>
      </c>
      <c r="B21" s="4" t="s">
        <v>56</v>
      </c>
      <c r="C21" s="4" t="s">
        <v>57</v>
      </c>
      <c r="D21" s="5">
        <f>INDEX(Parramatta!$E$5:$E$22,MATCH($A21,Parramatta!$A$5:$A$22,0))</f>
        <v>4</v>
      </c>
      <c r="E21" s="5">
        <f>INDEX(Bondi!$E$5:$E$22,MATCH($A21,Bondi!$A$5:$A$22,0))</f>
        <v>3</v>
      </c>
      <c r="F21" s="5">
        <f>INDEX(Chatswood!$E$5:$E$22,MATCH($A21,Chatswood!$A$5:$A$22,0))</f>
        <v>4</v>
      </c>
      <c r="G21" s="5">
        <f>INDEX(Newtown!$E$5:$E$22,MATCH($A21,Newtown!$A$5:$A$22,0))</f>
        <v>2</v>
      </c>
      <c r="H21" s="5">
        <f>INDEX(Penrith!$E$5:$E$22,MATCH($A21,Penrith!$A$5:$A$22,0))</f>
        <v>6</v>
      </c>
      <c r="I21" s="5">
        <f t="shared" si="0"/>
        <v>19</v>
      </c>
      <c r="J21" s="5">
        <f>INDEX(Parramatta!$F$5:$F$22,MATCH($A21,Parramatta!$A$5:$A$22,0))+INDEX(Bondi!$F$5:$F$22,MATCH($A21,Bondi!$A$5:$A$22,0))+INDEX(Chatswood!$F$5:$F$22,MATCH($A21,Chatswood!$A$5:$A$22,0))+INDEX(Newtown!$F$5:$F$22,MATCH($A21,Newtown!$A$5:$A$22,0))+INDEX(Penrith!$F$5:$F$22,MATCH($A21,Penrith!$A$5:$A$22,0))</f>
        <v>0</v>
      </c>
      <c r="K21" s="5">
        <f t="shared" si="1"/>
        <v>19</v>
      </c>
      <c r="L21" s="5">
        <v>19</v>
      </c>
      <c r="M21" s="5">
        <f t="shared" si="2"/>
        <v>0</v>
      </c>
      <c r="N21" s="4" t="str">
        <f t="shared" si="3"/>
        <v>in sync</v>
      </c>
    </row>
    <row r="22" spans="1:14" x14ac:dyDescent="0.3">
      <c r="A22" s="4" t="s">
        <v>58</v>
      </c>
      <c r="B22" s="4" t="s">
        <v>59</v>
      </c>
      <c r="C22" s="4" t="s">
        <v>60</v>
      </c>
      <c r="D22" s="5">
        <f>INDEX(Parramatta!$E$5:$E$22,MATCH($A22,Parramatta!$A$5:$A$22,0))</f>
        <v>0</v>
      </c>
      <c r="E22" s="5">
        <f>INDEX(Bondi!$E$5:$E$22,MATCH($A22,Bondi!$A$5:$A$22,0))</f>
        <v>0</v>
      </c>
      <c r="F22" s="5">
        <f>INDEX(Chatswood!$E$5:$E$22,MATCH($A22,Chatswood!$A$5:$A$22,0))</f>
        <v>0</v>
      </c>
      <c r="G22" s="5">
        <f>INDEX(Newtown!$E$5:$E$22,MATCH($A22,Newtown!$A$5:$A$22,0))</f>
        <v>1</v>
      </c>
      <c r="H22" s="5">
        <f>INDEX(Penrith!$E$5:$E$22,MATCH($A22,Penrith!$A$5:$A$22,0))</f>
        <v>1</v>
      </c>
      <c r="I22" s="5">
        <f t="shared" si="0"/>
        <v>2</v>
      </c>
      <c r="J22" s="5">
        <f>INDEX(Parramatta!$F$5:$F$22,MATCH($A22,Parramatta!$A$5:$A$22,0))+INDEX(Bondi!$F$5:$F$22,MATCH($A22,Bondi!$A$5:$A$22,0))+INDEX(Chatswood!$F$5:$F$22,MATCH($A22,Chatswood!$A$5:$A$22,0))+INDEX(Newtown!$F$5:$F$22,MATCH($A22,Newtown!$A$5:$A$22,0))+INDEX(Penrith!$F$5:$F$22,MATCH($A22,Penrith!$A$5:$A$22,0))</f>
        <v>0</v>
      </c>
      <c r="K22" s="5">
        <f t="shared" si="1"/>
        <v>2</v>
      </c>
      <c r="L22" s="5">
        <v>2</v>
      </c>
      <c r="M22" s="5">
        <f t="shared" si="2"/>
        <v>0</v>
      </c>
      <c r="N22" s="4" t="str">
        <f t="shared" si="3"/>
        <v>in sync</v>
      </c>
    </row>
    <row r="23" spans="1:14" x14ac:dyDescent="0.3">
      <c r="A23" s="6" t="s">
        <v>61</v>
      </c>
      <c r="B23" s="6"/>
      <c r="C23" s="6"/>
      <c r="D23" s="7">
        <f t="shared" ref="D23:M23" si="4">SUM(D5:D22)</f>
        <v>366</v>
      </c>
      <c r="E23" s="7">
        <f t="shared" si="4"/>
        <v>332</v>
      </c>
      <c r="F23" s="7">
        <f t="shared" si="4"/>
        <v>337</v>
      </c>
      <c r="G23" s="7">
        <f t="shared" si="4"/>
        <v>311</v>
      </c>
      <c r="H23" s="7">
        <f t="shared" si="4"/>
        <v>366</v>
      </c>
      <c r="I23" s="7">
        <f t="shared" si="4"/>
        <v>1712</v>
      </c>
      <c r="J23" s="7">
        <f t="shared" si="4"/>
        <v>5</v>
      </c>
      <c r="K23" s="7">
        <f t="shared" si="4"/>
        <v>1717</v>
      </c>
      <c r="L23" s="7">
        <f t="shared" si="4"/>
        <v>1712</v>
      </c>
      <c r="M23" s="7">
        <f t="shared" si="4"/>
        <v>0</v>
      </c>
      <c r="N23" s="6"/>
    </row>
    <row r="25" spans="1:14" x14ac:dyDescent="0.3">
      <c r="A25" s="8" t="s">
        <v>62</v>
      </c>
    </row>
    <row r="26" spans="1:14" x14ac:dyDescent="0.3">
      <c r="A26" s="2" t="s">
        <v>63</v>
      </c>
    </row>
    <row r="27" spans="1:14" x14ac:dyDescent="0.3">
      <c r="A27" s="2" t="s">
        <v>64</v>
      </c>
    </row>
    <row r="28" spans="1:14" x14ac:dyDescent="0.3">
      <c r="A28" s="2" t="s">
        <v>65</v>
      </c>
    </row>
    <row r="29" spans="1:14" x14ac:dyDescent="0.3">
      <c r="A29" s="2" t="s">
        <v>66</v>
      </c>
    </row>
  </sheetData>
  <autoFilter ref="A4:N2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34" customWidth="1"/>
    <col min="3" max="3" width="13" customWidth="1"/>
    <col min="4" max="4" width="12" customWidth="1"/>
    <col min="5" max="6" width="10" customWidth="1"/>
    <col min="7" max="7" width="12" customWidth="1"/>
    <col min="8" max="8" width="14" customWidth="1"/>
    <col min="9" max="9" width="10" customWidth="1"/>
    <col min="10" max="10" width="22" customWidth="1"/>
  </cols>
  <sheetData>
    <row r="1" spans="1:10" ht="17.399999999999999" x14ac:dyDescent="0.3">
      <c r="A1" s="1" t="s">
        <v>67</v>
      </c>
    </row>
    <row r="2" spans="1:10" x14ac:dyDescent="0.3">
      <c r="A2" s="2" t="s">
        <v>1</v>
      </c>
    </row>
    <row r="4" spans="1:10" ht="30" customHeight="1" x14ac:dyDescent="0.3">
      <c r="A4" s="3" t="s">
        <v>2</v>
      </c>
      <c r="B4" s="3" t="s">
        <v>3</v>
      </c>
      <c r="C4" s="3" t="s">
        <v>4</v>
      </c>
      <c r="D4" s="3" t="s">
        <v>68</v>
      </c>
      <c r="E4" s="3" t="s">
        <v>69</v>
      </c>
      <c r="F4" s="3" t="s">
        <v>70</v>
      </c>
      <c r="G4" s="3" t="s">
        <v>12</v>
      </c>
      <c r="H4" s="3" t="s">
        <v>71</v>
      </c>
      <c r="I4" s="3" t="s">
        <v>72</v>
      </c>
      <c r="J4" s="3" t="s">
        <v>73</v>
      </c>
    </row>
    <row r="5" spans="1:10" x14ac:dyDescent="0.3">
      <c r="A5" s="4" t="s">
        <v>16</v>
      </c>
      <c r="B5" s="4" t="s">
        <v>17</v>
      </c>
      <c r="C5" s="4" t="s">
        <v>18</v>
      </c>
      <c r="D5" s="9">
        <v>39.950000000000003</v>
      </c>
      <c r="E5" s="5">
        <v>37</v>
      </c>
      <c r="F5" s="5">
        <v>0</v>
      </c>
      <c r="G5" s="5">
        <f t="shared" ref="G5:G22" si="0">E5+F5</f>
        <v>37</v>
      </c>
      <c r="H5" s="9">
        <f t="shared" ref="H5:H22" si="1">G5*D5</f>
        <v>1478.15</v>
      </c>
      <c r="I5" s="10" t="str">
        <f t="shared" ref="I5:I22" si="2">IF(E5&lt;=2,"LOW","")</f>
        <v/>
      </c>
      <c r="J5" s="4" t="s">
        <v>74</v>
      </c>
    </row>
    <row r="6" spans="1:10" x14ac:dyDescent="0.3">
      <c r="A6" s="4" t="s">
        <v>19</v>
      </c>
      <c r="B6" s="4" t="s">
        <v>20</v>
      </c>
      <c r="C6" s="4" t="s">
        <v>18</v>
      </c>
      <c r="D6" s="9">
        <v>42.95</v>
      </c>
      <c r="E6" s="5">
        <v>14</v>
      </c>
      <c r="F6" s="5">
        <v>0</v>
      </c>
      <c r="G6" s="5">
        <f t="shared" si="0"/>
        <v>14</v>
      </c>
      <c r="H6" s="9">
        <f t="shared" si="1"/>
        <v>601.30000000000007</v>
      </c>
      <c r="I6" s="10" t="str">
        <f t="shared" si="2"/>
        <v/>
      </c>
      <c r="J6" s="4" t="s">
        <v>75</v>
      </c>
    </row>
    <row r="7" spans="1:10" x14ac:dyDescent="0.3">
      <c r="A7" s="4" t="s">
        <v>21</v>
      </c>
      <c r="B7" s="4" t="s">
        <v>22</v>
      </c>
      <c r="C7" s="4" t="s">
        <v>18</v>
      </c>
      <c r="D7" s="9">
        <v>18.5</v>
      </c>
      <c r="E7" s="5">
        <v>33</v>
      </c>
      <c r="F7" s="5">
        <v>0</v>
      </c>
      <c r="G7" s="5">
        <f t="shared" si="0"/>
        <v>33</v>
      </c>
      <c r="H7" s="9">
        <f t="shared" si="1"/>
        <v>610.5</v>
      </c>
      <c r="I7" s="10" t="str">
        <f t="shared" si="2"/>
        <v/>
      </c>
      <c r="J7" s="4" t="s">
        <v>76</v>
      </c>
    </row>
    <row r="8" spans="1:10" x14ac:dyDescent="0.3">
      <c r="A8" s="4" t="s">
        <v>23</v>
      </c>
      <c r="B8" s="4" t="s">
        <v>24</v>
      </c>
      <c r="C8" s="4" t="s">
        <v>18</v>
      </c>
      <c r="D8" s="9">
        <v>29.95</v>
      </c>
      <c r="E8" s="5">
        <v>18</v>
      </c>
      <c r="F8" s="5">
        <v>0</v>
      </c>
      <c r="G8" s="5">
        <f t="shared" si="0"/>
        <v>18</v>
      </c>
      <c r="H8" s="9">
        <f t="shared" si="1"/>
        <v>539.1</v>
      </c>
      <c r="I8" s="10" t="str">
        <f t="shared" si="2"/>
        <v/>
      </c>
      <c r="J8" s="4" t="s">
        <v>77</v>
      </c>
    </row>
    <row r="9" spans="1:10" x14ac:dyDescent="0.3">
      <c r="A9" s="4" t="s">
        <v>25</v>
      </c>
      <c r="B9" s="4" t="s">
        <v>26</v>
      </c>
      <c r="C9" s="4" t="s">
        <v>27</v>
      </c>
      <c r="D9" s="9">
        <v>14.95</v>
      </c>
      <c r="E9" s="5">
        <v>57</v>
      </c>
      <c r="F9" s="5">
        <v>0</v>
      </c>
      <c r="G9" s="5">
        <f t="shared" si="0"/>
        <v>57</v>
      </c>
      <c r="H9" s="9">
        <f t="shared" si="1"/>
        <v>852.15</v>
      </c>
      <c r="I9" s="10" t="str">
        <f t="shared" si="2"/>
        <v/>
      </c>
      <c r="J9" s="4" t="s">
        <v>78</v>
      </c>
    </row>
    <row r="10" spans="1:10" x14ac:dyDescent="0.3">
      <c r="A10" s="4" t="s">
        <v>28</v>
      </c>
      <c r="B10" s="4" t="s">
        <v>29</v>
      </c>
      <c r="C10" s="4" t="s">
        <v>27</v>
      </c>
      <c r="D10" s="9">
        <v>24.95</v>
      </c>
      <c r="E10" s="5">
        <v>29</v>
      </c>
      <c r="F10" s="5">
        <v>0</v>
      </c>
      <c r="G10" s="5">
        <f t="shared" si="0"/>
        <v>29</v>
      </c>
      <c r="H10" s="9">
        <f t="shared" si="1"/>
        <v>723.55</v>
      </c>
      <c r="I10" s="10" t="str">
        <f t="shared" si="2"/>
        <v/>
      </c>
      <c r="J10" s="4" t="s">
        <v>74</v>
      </c>
    </row>
    <row r="11" spans="1:10" x14ac:dyDescent="0.3">
      <c r="A11" s="4" t="s">
        <v>30</v>
      </c>
      <c r="B11" s="4" t="s">
        <v>31</v>
      </c>
      <c r="C11" s="4" t="s">
        <v>32</v>
      </c>
      <c r="D11" s="9">
        <v>9.9499999999999993</v>
      </c>
      <c r="E11" s="5">
        <v>24</v>
      </c>
      <c r="F11" s="5">
        <v>0</v>
      </c>
      <c r="G11" s="5">
        <f t="shared" si="0"/>
        <v>24</v>
      </c>
      <c r="H11" s="9">
        <f t="shared" si="1"/>
        <v>238.79999999999998</v>
      </c>
      <c r="I11" s="10" t="str">
        <f t="shared" si="2"/>
        <v/>
      </c>
      <c r="J11" s="4" t="s">
        <v>77</v>
      </c>
    </row>
    <row r="12" spans="1:10" x14ac:dyDescent="0.3">
      <c r="A12" s="4" t="s">
        <v>33</v>
      </c>
      <c r="B12" s="4" t="s">
        <v>34</v>
      </c>
      <c r="C12" s="4" t="s">
        <v>32</v>
      </c>
      <c r="D12" s="9">
        <v>16.95</v>
      </c>
      <c r="E12" s="5">
        <v>15</v>
      </c>
      <c r="F12" s="5">
        <v>1</v>
      </c>
      <c r="G12" s="5">
        <f t="shared" si="0"/>
        <v>16</v>
      </c>
      <c r="H12" s="9">
        <f t="shared" si="1"/>
        <v>271.2</v>
      </c>
      <c r="I12" s="10" t="str">
        <f t="shared" si="2"/>
        <v/>
      </c>
      <c r="J12" s="4" t="s">
        <v>79</v>
      </c>
    </row>
    <row r="13" spans="1:10" x14ac:dyDescent="0.3">
      <c r="A13" s="4" t="s">
        <v>35</v>
      </c>
      <c r="B13" s="4" t="s">
        <v>36</v>
      </c>
      <c r="C13" s="4" t="s">
        <v>32</v>
      </c>
      <c r="D13" s="9">
        <v>12.95</v>
      </c>
      <c r="E13" s="5">
        <v>24</v>
      </c>
      <c r="F13" s="5">
        <v>0</v>
      </c>
      <c r="G13" s="5">
        <f t="shared" si="0"/>
        <v>24</v>
      </c>
      <c r="H13" s="9">
        <f t="shared" si="1"/>
        <v>310.79999999999995</v>
      </c>
      <c r="I13" s="10" t="str">
        <f t="shared" si="2"/>
        <v/>
      </c>
      <c r="J13" s="4" t="s">
        <v>77</v>
      </c>
    </row>
    <row r="14" spans="1:10" x14ac:dyDescent="0.3">
      <c r="A14" s="4" t="s">
        <v>37</v>
      </c>
      <c r="B14" s="4" t="s">
        <v>38</v>
      </c>
      <c r="C14" s="4" t="s">
        <v>32</v>
      </c>
      <c r="D14" s="9">
        <v>11.5</v>
      </c>
      <c r="E14" s="5">
        <v>18</v>
      </c>
      <c r="F14" s="5">
        <v>0</v>
      </c>
      <c r="G14" s="5">
        <f t="shared" si="0"/>
        <v>18</v>
      </c>
      <c r="H14" s="9">
        <f t="shared" si="1"/>
        <v>207</v>
      </c>
      <c r="I14" s="10" t="str">
        <f t="shared" si="2"/>
        <v/>
      </c>
      <c r="J14" s="4" t="s">
        <v>77</v>
      </c>
    </row>
    <row r="15" spans="1:10" x14ac:dyDescent="0.3">
      <c r="A15" s="4" t="s">
        <v>39</v>
      </c>
      <c r="B15" s="4" t="s">
        <v>40</v>
      </c>
      <c r="C15" s="4" t="s">
        <v>41</v>
      </c>
      <c r="D15" s="9">
        <v>19.95</v>
      </c>
      <c r="E15" s="5">
        <v>12</v>
      </c>
      <c r="F15" s="5">
        <v>0</v>
      </c>
      <c r="G15" s="5">
        <f t="shared" si="0"/>
        <v>12</v>
      </c>
      <c r="H15" s="9">
        <f t="shared" si="1"/>
        <v>239.39999999999998</v>
      </c>
      <c r="I15" s="10" t="str">
        <f t="shared" si="2"/>
        <v/>
      </c>
      <c r="J15" s="4" t="s">
        <v>77</v>
      </c>
    </row>
    <row r="16" spans="1:10" x14ac:dyDescent="0.3">
      <c r="A16" s="4" t="s">
        <v>42</v>
      </c>
      <c r="B16" s="4" t="s">
        <v>43</v>
      </c>
      <c r="C16" s="4" t="s">
        <v>41</v>
      </c>
      <c r="D16" s="9">
        <v>34.950000000000003</v>
      </c>
      <c r="E16" s="5">
        <v>7</v>
      </c>
      <c r="F16" s="5">
        <v>0</v>
      </c>
      <c r="G16" s="5">
        <f t="shared" si="0"/>
        <v>7</v>
      </c>
      <c r="H16" s="9">
        <f t="shared" si="1"/>
        <v>244.65000000000003</v>
      </c>
      <c r="I16" s="10" t="str">
        <f t="shared" si="2"/>
        <v/>
      </c>
      <c r="J16" s="4" t="s">
        <v>80</v>
      </c>
    </row>
    <row r="17" spans="1:10" x14ac:dyDescent="0.3">
      <c r="A17" s="4" t="s">
        <v>44</v>
      </c>
      <c r="B17" s="4" t="s">
        <v>45</v>
      </c>
      <c r="C17" s="4" t="s">
        <v>46</v>
      </c>
      <c r="D17" s="9">
        <v>129</v>
      </c>
      <c r="E17" s="5">
        <v>0</v>
      </c>
      <c r="F17" s="5">
        <v>2</v>
      </c>
      <c r="G17" s="5">
        <f t="shared" si="0"/>
        <v>2</v>
      </c>
      <c r="H17" s="9">
        <f t="shared" si="1"/>
        <v>258</v>
      </c>
      <c r="I17" s="10" t="str">
        <f t="shared" si="2"/>
        <v>LOW</v>
      </c>
      <c r="J17" s="4" t="s">
        <v>81</v>
      </c>
    </row>
    <row r="18" spans="1:10" x14ac:dyDescent="0.3">
      <c r="A18" s="4" t="s">
        <v>47</v>
      </c>
      <c r="B18" s="4" t="s">
        <v>48</v>
      </c>
      <c r="C18" s="4" t="s">
        <v>49</v>
      </c>
      <c r="D18" s="9">
        <v>21.95</v>
      </c>
      <c r="E18" s="5">
        <v>32</v>
      </c>
      <c r="F18" s="5">
        <v>0</v>
      </c>
      <c r="G18" s="5">
        <f t="shared" si="0"/>
        <v>32</v>
      </c>
      <c r="H18" s="9">
        <f t="shared" si="1"/>
        <v>702.4</v>
      </c>
      <c r="I18" s="10" t="str">
        <f t="shared" si="2"/>
        <v/>
      </c>
      <c r="J18" s="4" t="s">
        <v>77</v>
      </c>
    </row>
    <row r="19" spans="1:10" x14ac:dyDescent="0.3">
      <c r="A19" s="4" t="s">
        <v>50</v>
      </c>
      <c r="B19" s="4" t="s">
        <v>51</v>
      </c>
      <c r="C19" s="4" t="s">
        <v>41</v>
      </c>
      <c r="D19" s="9">
        <v>12.95</v>
      </c>
      <c r="E19" s="5">
        <v>24</v>
      </c>
      <c r="F19" s="5">
        <v>0</v>
      </c>
      <c r="G19" s="5">
        <f t="shared" si="0"/>
        <v>24</v>
      </c>
      <c r="H19" s="9">
        <f t="shared" si="1"/>
        <v>310.79999999999995</v>
      </c>
      <c r="I19" s="10" t="str">
        <f t="shared" si="2"/>
        <v/>
      </c>
      <c r="J19" s="4" t="s">
        <v>77</v>
      </c>
    </row>
    <row r="20" spans="1:10" x14ac:dyDescent="0.3">
      <c r="A20" s="4" t="s">
        <v>52</v>
      </c>
      <c r="B20" s="4" t="s">
        <v>53</v>
      </c>
      <c r="C20" s="4" t="s">
        <v>54</v>
      </c>
      <c r="D20" s="9">
        <v>54.95</v>
      </c>
      <c r="E20" s="5">
        <v>18</v>
      </c>
      <c r="F20" s="5">
        <v>0</v>
      </c>
      <c r="G20" s="5">
        <f t="shared" si="0"/>
        <v>18</v>
      </c>
      <c r="H20" s="9">
        <f t="shared" si="1"/>
        <v>989.1</v>
      </c>
      <c r="I20" s="10" t="str">
        <f t="shared" si="2"/>
        <v/>
      </c>
      <c r="J20" s="4" t="s">
        <v>82</v>
      </c>
    </row>
    <row r="21" spans="1:10" x14ac:dyDescent="0.3">
      <c r="A21" s="4" t="s">
        <v>55</v>
      </c>
      <c r="B21" s="4" t="s">
        <v>56</v>
      </c>
      <c r="C21" s="4" t="s">
        <v>57</v>
      </c>
      <c r="D21" s="9">
        <v>69.95</v>
      </c>
      <c r="E21" s="5">
        <v>4</v>
      </c>
      <c r="F21" s="5">
        <v>0</v>
      </c>
      <c r="G21" s="5">
        <f t="shared" si="0"/>
        <v>4</v>
      </c>
      <c r="H21" s="9">
        <f t="shared" si="1"/>
        <v>279.8</v>
      </c>
      <c r="I21" s="10" t="str">
        <f t="shared" si="2"/>
        <v/>
      </c>
      <c r="J21" s="4" t="s">
        <v>77</v>
      </c>
    </row>
    <row r="22" spans="1:10" x14ac:dyDescent="0.3">
      <c r="A22" s="4" t="s">
        <v>58</v>
      </c>
      <c r="B22" s="4" t="s">
        <v>59</v>
      </c>
      <c r="C22" s="4" t="s">
        <v>60</v>
      </c>
      <c r="D22" s="9">
        <v>149</v>
      </c>
      <c r="E22" s="5">
        <v>0</v>
      </c>
      <c r="F22" s="5">
        <v>0</v>
      </c>
      <c r="G22" s="5">
        <f t="shared" si="0"/>
        <v>0</v>
      </c>
      <c r="H22" s="9">
        <f t="shared" si="1"/>
        <v>0</v>
      </c>
      <c r="I22" s="10" t="str">
        <f t="shared" si="2"/>
        <v>LOW</v>
      </c>
      <c r="J22" s="4" t="s">
        <v>83</v>
      </c>
    </row>
    <row r="23" spans="1:10" x14ac:dyDescent="0.3">
      <c r="A23" s="6" t="s">
        <v>61</v>
      </c>
      <c r="B23" s="6"/>
      <c r="C23" s="6"/>
      <c r="D23" s="6"/>
      <c r="E23" s="7">
        <f>SUM(E5:E22)</f>
        <v>366</v>
      </c>
      <c r="F23" s="7">
        <f>SUM(F5:F22)</f>
        <v>3</v>
      </c>
      <c r="G23" s="7">
        <f>SUM(G5:G22)</f>
        <v>369</v>
      </c>
      <c r="H23" s="11">
        <f>SUM(H5:H22)</f>
        <v>8856.6999999999989</v>
      </c>
      <c r="I23" s="6" t="str">
        <f>COUNTIF(I5:I22,"LOW")&amp;" low"</f>
        <v>2 low</v>
      </c>
      <c r="J23" s="6"/>
    </row>
  </sheetData>
  <autoFilter ref="A4:J2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34" customWidth="1"/>
    <col min="3" max="3" width="13" customWidth="1"/>
    <col min="4" max="4" width="12" customWidth="1"/>
    <col min="5" max="6" width="10" customWidth="1"/>
    <col min="7" max="7" width="12" customWidth="1"/>
    <col min="8" max="8" width="14" customWidth="1"/>
    <col min="9" max="9" width="10" customWidth="1"/>
    <col min="10" max="10" width="22" customWidth="1"/>
  </cols>
  <sheetData>
    <row r="1" spans="1:10" ht="17.399999999999999" x14ac:dyDescent="0.3">
      <c r="A1" s="1" t="s">
        <v>84</v>
      </c>
    </row>
    <row r="2" spans="1:10" x14ac:dyDescent="0.3">
      <c r="A2" s="2" t="s">
        <v>1</v>
      </c>
    </row>
    <row r="4" spans="1:10" ht="30" customHeight="1" x14ac:dyDescent="0.3">
      <c r="A4" s="3" t="s">
        <v>2</v>
      </c>
      <c r="B4" s="3" t="s">
        <v>3</v>
      </c>
      <c r="C4" s="3" t="s">
        <v>4</v>
      </c>
      <c r="D4" s="3" t="s">
        <v>68</v>
      </c>
      <c r="E4" s="3" t="s">
        <v>69</v>
      </c>
      <c r="F4" s="3" t="s">
        <v>70</v>
      </c>
      <c r="G4" s="3" t="s">
        <v>12</v>
      </c>
      <c r="H4" s="3" t="s">
        <v>71</v>
      </c>
      <c r="I4" s="3" t="s">
        <v>72</v>
      </c>
      <c r="J4" s="3" t="s">
        <v>73</v>
      </c>
    </row>
    <row r="5" spans="1:10" x14ac:dyDescent="0.3">
      <c r="A5" s="4" t="s">
        <v>16</v>
      </c>
      <c r="B5" s="4" t="s">
        <v>17</v>
      </c>
      <c r="C5" s="4" t="s">
        <v>18</v>
      </c>
      <c r="D5" s="9">
        <v>39.950000000000003</v>
      </c>
      <c r="E5" s="5">
        <v>27</v>
      </c>
      <c r="F5" s="5">
        <v>0</v>
      </c>
      <c r="G5" s="5">
        <f t="shared" ref="G5:G22" si="0">E5+F5</f>
        <v>27</v>
      </c>
      <c r="H5" s="9">
        <f t="shared" ref="H5:H22" si="1">G5*D5</f>
        <v>1078.6500000000001</v>
      </c>
      <c r="I5" s="10" t="str">
        <f t="shared" ref="I5:I22" si="2">IF(E5&lt;=2,"LOW","")</f>
        <v/>
      </c>
      <c r="J5" s="4" t="s">
        <v>85</v>
      </c>
    </row>
    <row r="6" spans="1:10" x14ac:dyDescent="0.3">
      <c r="A6" s="4" t="s">
        <v>19</v>
      </c>
      <c r="B6" s="4" t="s">
        <v>20</v>
      </c>
      <c r="C6" s="4" t="s">
        <v>18</v>
      </c>
      <c r="D6" s="9">
        <v>42.95</v>
      </c>
      <c r="E6" s="5">
        <v>12</v>
      </c>
      <c r="F6" s="5">
        <v>0</v>
      </c>
      <c r="G6" s="5">
        <f t="shared" si="0"/>
        <v>12</v>
      </c>
      <c r="H6" s="9">
        <f t="shared" si="1"/>
        <v>515.40000000000009</v>
      </c>
      <c r="I6" s="10" t="str">
        <f t="shared" si="2"/>
        <v/>
      </c>
      <c r="J6" s="4" t="s">
        <v>77</v>
      </c>
    </row>
    <row r="7" spans="1:10" x14ac:dyDescent="0.3">
      <c r="A7" s="4" t="s">
        <v>21</v>
      </c>
      <c r="B7" s="4" t="s">
        <v>22</v>
      </c>
      <c r="C7" s="4" t="s">
        <v>18</v>
      </c>
      <c r="D7" s="9">
        <v>18.5</v>
      </c>
      <c r="E7" s="5">
        <v>61</v>
      </c>
      <c r="F7" s="5">
        <v>0</v>
      </c>
      <c r="G7" s="5">
        <f t="shared" si="0"/>
        <v>61</v>
      </c>
      <c r="H7" s="9">
        <f t="shared" si="1"/>
        <v>1128.5</v>
      </c>
      <c r="I7" s="10" t="str">
        <f t="shared" si="2"/>
        <v/>
      </c>
      <c r="J7" s="4" t="s">
        <v>86</v>
      </c>
    </row>
    <row r="8" spans="1:10" x14ac:dyDescent="0.3">
      <c r="A8" s="4" t="s">
        <v>23</v>
      </c>
      <c r="B8" s="4" t="s">
        <v>24</v>
      </c>
      <c r="C8" s="4" t="s">
        <v>18</v>
      </c>
      <c r="D8" s="9">
        <v>29.95</v>
      </c>
      <c r="E8" s="5">
        <v>24</v>
      </c>
      <c r="F8" s="5">
        <v>0</v>
      </c>
      <c r="G8" s="5">
        <f t="shared" si="0"/>
        <v>24</v>
      </c>
      <c r="H8" s="9">
        <f t="shared" si="1"/>
        <v>718.8</v>
      </c>
      <c r="I8" s="10" t="str">
        <f t="shared" si="2"/>
        <v/>
      </c>
      <c r="J8" s="4" t="s">
        <v>77</v>
      </c>
    </row>
    <row r="9" spans="1:10" x14ac:dyDescent="0.3">
      <c r="A9" s="4" t="s">
        <v>25</v>
      </c>
      <c r="B9" s="4" t="s">
        <v>26</v>
      </c>
      <c r="C9" s="4" t="s">
        <v>27</v>
      </c>
      <c r="D9" s="9">
        <v>14.95</v>
      </c>
      <c r="E9" s="5">
        <v>36</v>
      </c>
      <c r="F9" s="5">
        <v>0</v>
      </c>
      <c r="G9" s="5">
        <f t="shared" si="0"/>
        <v>36</v>
      </c>
      <c r="H9" s="9">
        <f t="shared" si="1"/>
        <v>538.19999999999993</v>
      </c>
      <c r="I9" s="10" t="str">
        <f t="shared" si="2"/>
        <v/>
      </c>
      <c r="J9" s="4" t="s">
        <v>77</v>
      </c>
    </row>
    <row r="10" spans="1:10" x14ac:dyDescent="0.3">
      <c r="A10" s="4" t="s">
        <v>28</v>
      </c>
      <c r="B10" s="4" t="s">
        <v>29</v>
      </c>
      <c r="C10" s="4" t="s">
        <v>27</v>
      </c>
      <c r="D10" s="9">
        <v>24.95</v>
      </c>
      <c r="E10" s="5">
        <v>24</v>
      </c>
      <c r="F10" s="5">
        <v>0</v>
      </c>
      <c r="G10" s="5">
        <f t="shared" si="0"/>
        <v>24</v>
      </c>
      <c r="H10" s="9">
        <f t="shared" si="1"/>
        <v>598.79999999999995</v>
      </c>
      <c r="I10" s="10" t="str">
        <f t="shared" si="2"/>
        <v/>
      </c>
      <c r="J10" s="4" t="s">
        <v>77</v>
      </c>
    </row>
    <row r="11" spans="1:10" x14ac:dyDescent="0.3">
      <c r="A11" s="4" t="s">
        <v>30</v>
      </c>
      <c r="B11" s="4" t="s">
        <v>31</v>
      </c>
      <c r="C11" s="4" t="s">
        <v>32</v>
      </c>
      <c r="D11" s="9">
        <v>9.9499999999999993</v>
      </c>
      <c r="E11" s="5">
        <v>36</v>
      </c>
      <c r="F11" s="5">
        <v>0</v>
      </c>
      <c r="G11" s="5">
        <f t="shared" si="0"/>
        <v>36</v>
      </c>
      <c r="H11" s="9">
        <f t="shared" si="1"/>
        <v>358.2</v>
      </c>
      <c r="I11" s="10" t="str">
        <f t="shared" si="2"/>
        <v/>
      </c>
      <c r="J11" s="4" t="s">
        <v>77</v>
      </c>
    </row>
    <row r="12" spans="1:10" x14ac:dyDescent="0.3">
      <c r="A12" s="4" t="s">
        <v>33</v>
      </c>
      <c r="B12" s="4" t="s">
        <v>34</v>
      </c>
      <c r="C12" s="4" t="s">
        <v>32</v>
      </c>
      <c r="D12" s="9">
        <v>16.95</v>
      </c>
      <c r="E12" s="5">
        <v>12</v>
      </c>
      <c r="F12" s="5">
        <v>0</v>
      </c>
      <c r="G12" s="5">
        <f t="shared" si="0"/>
        <v>12</v>
      </c>
      <c r="H12" s="9">
        <f t="shared" si="1"/>
        <v>203.39999999999998</v>
      </c>
      <c r="I12" s="10" t="str">
        <f t="shared" si="2"/>
        <v/>
      </c>
      <c r="J12" s="4" t="s">
        <v>77</v>
      </c>
    </row>
    <row r="13" spans="1:10" x14ac:dyDescent="0.3">
      <c r="A13" s="4" t="s">
        <v>35</v>
      </c>
      <c r="B13" s="4" t="s">
        <v>36</v>
      </c>
      <c r="C13" s="4" t="s">
        <v>32</v>
      </c>
      <c r="D13" s="9">
        <v>12.95</v>
      </c>
      <c r="E13" s="5">
        <v>16</v>
      </c>
      <c r="F13" s="5">
        <v>0</v>
      </c>
      <c r="G13" s="5">
        <f t="shared" si="0"/>
        <v>16</v>
      </c>
      <c r="H13" s="9">
        <f t="shared" si="1"/>
        <v>207.2</v>
      </c>
      <c r="I13" s="10" t="str">
        <f t="shared" si="2"/>
        <v/>
      </c>
      <c r="J13" s="4" t="s">
        <v>87</v>
      </c>
    </row>
    <row r="14" spans="1:10" x14ac:dyDescent="0.3">
      <c r="A14" s="4" t="s">
        <v>37</v>
      </c>
      <c r="B14" s="4" t="s">
        <v>38</v>
      </c>
      <c r="C14" s="4" t="s">
        <v>32</v>
      </c>
      <c r="D14" s="9">
        <v>11.5</v>
      </c>
      <c r="E14" s="5">
        <v>17</v>
      </c>
      <c r="F14" s="5">
        <v>0</v>
      </c>
      <c r="G14" s="5">
        <f t="shared" si="0"/>
        <v>17</v>
      </c>
      <c r="H14" s="9">
        <f t="shared" si="1"/>
        <v>195.5</v>
      </c>
      <c r="I14" s="10" t="str">
        <f t="shared" si="2"/>
        <v/>
      </c>
      <c r="J14" s="4" t="s">
        <v>87</v>
      </c>
    </row>
    <row r="15" spans="1:10" x14ac:dyDescent="0.3">
      <c r="A15" s="4" t="s">
        <v>39</v>
      </c>
      <c r="B15" s="4" t="s">
        <v>40</v>
      </c>
      <c r="C15" s="4" t="s">
        <v>41</v>
      </c>
      <c r="D15" s="9">
        <v>19.95</v>
      </c>
      <c r="E15" s="5">
        <v>12</v>
      </c>
      <c r="F15" s="5">
        <v>0</v>
      </c>
      <c r="G15" s="5">
        <f t="shared" si="0"/>
        <v>12</v>
      </c>
      <c r="H15" s="9">
        <f t="shared" si="1"/>
        <v>239.39999999999998</v>
      </c>
      <c r="I15" s="10" t="str">
        <f t="shared" si="2"/>
        <v/>
      </c>
      <c r="J15" s="4" t="s">
        <v>77</v>
      </c>
    </row>
    <row r="16" spans="1:10" x14ac:dyDescent="0.3">
      <c r="A16" s="4" t="s">
        <v>42</v>
      </c>
      <c r="B16" s="4" t="s">
        <v>43</v>
      </c>
      <c r="C16" s="4" t="s">
        <v>41</v>
      </c>
      <c r="D16" s="9">
        <v>34.950000000000003</v>
      </c>
      <c r="E16" s="5">
        <v>8</v>
      </c>
      <c r="F16" s="5">
        <v>0</v>
      </c>
      <c r="G16" s="5">
        <f t="shared" si="0"/>
        <v>8</v>
      </c>
      <c r="H16" s="9">
        <f t="shared" si="1"/>
        <v>279.60000000000002</v>
      </c>
      <c r="I16" s="10" t="str">
        <f t="shared" si="2"/>
        <v/>
      </c>
      <c r="J16" s="4" t="s">
        <v>88</v>
      </c>
    </row>
    <row r="17" spans="1:10" x14ac:dyDescent="0.3">
      <c r="A17" s="4" t="s">
        <v>44</v>
      </c>
      <c r="B17" s="4" t="s">
        <v>45</v>
      </c>
      <c r="C17" s="4" t="s">
        <v>46</v>
      </c>
      <c r="D17" s="9">
        <v>129</v>
      </c>
      <c r="E17" s="5">
        <v>1</v>
      </c>
      <c r="F17" s="5">
        <v>0</v>
      </c>
      <c r="G17" s="5">
        <f t="shared" si="0"/>
        <v>1</v>
      </c>
      <c r="H17" s="9">
        <f t="shared" si="1"/>
        <v>129</v>
      </c>
      <c r="I17" s="10" t="str">
        <f t="shared" si="2"/>
        <v>LOW</v>
      </c>
      <c r="J17" s="4" t="s">
        <v>77</v>
      </c>
    </row>
    <row r="18" spans="1:10" x14ac:dyDescent="0.3">
      <c r="A18" s="4" t="s">
        <v>47</v>
      </c>
      <c r="B18" s="4" t="s">
        <v>48</v>
      </c>
      <c r="C18" s="4" t="s">
        <v>49</v>
      </c>
      <c r="D18" s="9">
        <v>21.95</v>
      </c>
      <c r="E18" s="5">
        <v>20</v>
      </c>
      <c r="F18" s="5">
        <v>0</v>
      </c>
      <c r="G18" s="5">
        <f t="shared" si="0"/>
        <v>20</v>
      </c>
      <c r="H18" s="9">
        <f t="shared" si="1"/>
        <v>439</v>
      </c>
      <c r="I18" s="10" t="str">
        <f t="shared" si="2"/>
        <v/>
      </c>
      <c r="J18" s="4" t="s">
        <v>77</v>
      </c>
    </row>
    <row r="19" spans="1:10" x14ac:dyDescent="0.3">
      <c r="A19" s="4" t="s">
        <v>50</v>
      </c>
      <c r="B19" s="4" t="s">
        <v>51</v>
      </c>
      <c r="C19" s="4" t="s">
        <v>41</v>
      </c>
      <c r="D19" s="9">
        <v>12.95</v>
      </c>
      <c r="E19" s="5">
        <v>17</v>
      </c>
      <c r="F19" s="5">
        <v>0</v>
      </c>
      <c r="G19" s="5">
        <f t="shared" si="0"/>
        <v>17</v>
      </c>
      <c r="H19" s="9">
        <f t="shared" si="1"/>
        <v>220.14999999999998</v>
      </c>
      <c r="I19" s="10" t="str">
        <f t="shared" si="2"/>
        <v/>
      </c>
      <c r="J19" s="4" t="s">
        <v>89</v>
      </c>
    </row>
    <row r="20" spans="1:10" x14ac:dyDescent="0.3">
      <c r="A20" s="4" t="s">
        <v>52</v>
      </c>
      <c r="B20" s="4" t="s">
        <v>53</v>
      </c>
      <c r="C20" s="4" t="s">
        <v>54</v>
      </c>
      <c r="D20" s="9">
        <v>54.95</v>
      </c>
      <c r="E20" s="5">
        <v>6</v>
      </c>
      <c r="F20" s="5">
        <v>0</v>
      </c>
      <c r="G20" s="5">
        <f t="shared" si="0"/>
        <v>6</v>
      </c>
      <c r="H20" s="9">
        <f t="shared" si="1"/>
        <v>329.70000000000005</v>
      </c>
      <c r="I20" s="10" t="str">
        <f t="shared" si="2"/>
        <v/>
      </c>
      <c r="J20" s="4" t="s">
        <v>77</v>
      </c>
    </row>
    <row r="21" spans="1:10" x14ac:dyDescent="0.3">
      <c r="A21" s="4" t="s">
        <v>55</v>
      </c>
      <c r="B21" s="4" t="s">
        <v>56</v>
      </c>
      <c r="C21" s="4" t="s">
        <v>57</v>
      </c>
      <c r="D21" s="9">
        <v>69.95</v>
      </c>
      <c r="E21" s="5">
        <v>3</v>
      </c>
      <c r="F21" s="5">
        <v>0</v>
      </c>
      <c r="G21" s="5">
        <f t="shared" si="0"/>
        <v>3</v>
      </c>
      <c r="H21" s="9">
        <f t="shared" si="1"/>
        <v>209.85000000000002</v>
      </c>
      <c r="I21" s="10" t="str">
        <f t="shared" si="2"/>
        <v/>
      </c>
      <c r="J21" s="4" t="s">
        <v>77</v>
      </c>
    </row>
    <row r="22" spans="1:10" x14ac:dyDescent="0.3">
      <c r="A22" s="4" t="s">
        <v>58</v>
      </c>
      <c r="B22" s="4" t="s">
        <v>59</v>
      </c>
      <c r="C22" s="4" t="s">
        <v>60</v>
      </c>
      <c r="D22" s="9">
        <v>149</v>
      </c>
      <c r="E22" s="5">
        <v>0</v>
      </c>
      <c r="F22" s="5">
        <v>0</v>
      </c>
      <c r="G22" s="5">
        <f t="shared" si="0"/>
        <v>0</v>
      </c>
      <c r="H22" s="9">
        <f t="shared" si="1"/>
        <v>0</v>
      </c>
      <c r="I22" s="10" t="str">
        <f t="shared" si="2"/>
        <v>LOW</v>
      </c>
      <c r="J22" s="4" t="s">
        <v>90</v>
      </c>
    </row>
    <row r="23" spans="1:10" x14ac:dyDescent="0.3">
      <c r="A23" s="6" t="s">
        <v>61</v>
      </c>
      <c r="B23" s="6"/>
      <c r="C23" s="6"/>
      <c r="D23" s="6"/>
      <c r="E23" s="7">
        <f>SUM(E5:E22)</f>
        <v>332</v>
      </c>
      <c r="F23" s="7">
        <f>SUM(F5:F22)</f>
        <v>0</v>
      </c>
      <c r="G23" s="7">
        <f>SUM(G5:G22)</f>
        <v>332</v>
      </c>
      <c r="H23" s="11">
        <f>SUM(H5:H22)</f>
        <v>7389.3499999999995</v>
      </c>
      <c r="I23" s="6" t="str">
        <f>COUNTIF(I5:I22,"LOW")&amp;" low"</f>
        <v>2 low</v>
      </c>
      <c r="J23" s="6"/>
    </row>
  </sheetData>
  <autoFilter ref="A4:J2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34" customWidth="1"/>
    <col min="3" max="3" width="13" customWidth="1"/>
    <col min="4" max="4" width="12" customWidth="1"/>
    <col min="5" max="6" width="10" customWidth="1"/>
    <col min="7" max="7" width="12" customWidth="1"/>
    <col min="8" max="8" width="14" customWidth="1"/>
    <col min="9" max="9" width="10" customWidth="1"/>
    <col min="10" max="10" width="22" customWidth="1"/>
  </cols>
  <sheetData>
    <row r="1" spans="1:10" ht="17.399999999999999" x14ac:dyDescent="0.3">
      <c r="A1" s="1" t="s">
        <v>91</v>
      </c>
    </row>
    <row r="2" spans="1:10" x14ac:dyDescent="0.3">
      <c r="A2" s="2" t="s">
        <v>1</v>
      </c>
    </row>
    <row r="4" spans="1:10" ht="30" customHeight="1" x14ac:dyDescent="0.3">
      <c r="A4" s="3" t="s">
        <v>2</v>
      </c>
      <c r="B4" s="3" t="s">
        <v>3</v>
      </c>
      <c r="C4" s="3" t="s">
        <v>4</v>
      </c>
      <c r="D4" s="3" t="s">
        <v>68</v>
      </c>
      <c r="E4" s="3" t="s">
        <v>69</v>
      </c>
      <c r="F4" s="3" t="s">
        <v>70</v>
      </c>
      <c r="G4" s="3" t="s">
        <v>12</v>
      </c>
      <c r="H4" s="3" t="s">
        <v>71</v>
      </c>
      <c r="I4" s="3" t="s">
        <v>72</v>
      </c>
      <c r="J4" s="3" t="s">
        <v>73</v>
      </c>
    </row>
    <row r="5" spans="1:10" x14ac:dyDescent="0.3">
      <c r="A5" s="4" t="s">
        <v>16</v>
      </c>
      <c r="B5" s="4" t="s">
        <v>17</v>
      </c>
      <c r="C5" s="4" t="s">
        <v>18</v>
      </c>
      <c r="D5" s="9">
        <v>39.950000000000003</v>
      </c>
      <c r="E5" s="5">
        <v>53</v>
      </c>
      <c r="F5" s="5">
        <v>0</v>
      </c>
      <c r="G5" s="5">
        <f t="shared" ref="G5:G22" si="0">E5+F5</f>
        <v>53</v>
      </c>
      <c r="H5" s="9">
        <f t="shared" ref="H5:H22" si="1">G5*D5</f>
        <v>2117.3500000000004</v>
      </c>
      <c r="I5" s="10" t="str">
        <f t="shared" ref="I5:I22" si="2">IF(E5&lt;=2,"LOW","")</f>
        <v/>
      </c>
      <c r="J5" s="4" t="s">
        <v>92</v>
      </c>
    </row>
    <row r="6" spans="1:10" x14ac:dyDescent="0.3">
      <c r="A6" s="4" t="s">
        <v>19</v>
      </c>
      <c r="B6" s="4" t="s">
        <v>20</v>
      </c>
      <c r="C6" s="4" t="s">
        <v>18</v>
      </c>
      <c r="D6" s="9">
        <v>42.95</v>
      </c>
      <c r="E6" s="5">
        <v>20</v>
      </c>
      <c r="F6" s="5">
        <v>0</v>
      </c>
      <c r="G6" s="5">
        <f t="shared" si="0"/>
        <v>20</v>
      </c>
      <c r="H6" s="9">
        <f t="shared" si="1"/>
        <v>859</v>
      </c>
      <c r="I6" s="10" t="str">
        <f t="shared" si="2"/>
        <v/>
      </c>
      <c r="J6" s="4" t="s">
        <v>77</v>
      </c>
    </row>
    <row r="7" spans="1:10" x14ac:dyDescent="0.3">
      <c r="A7" s="4" t="s">
        <v>21</v>
      </c>
      <c r="B7" s="4" t="s">
        <v>22</v>
      </c>
      <c r="C7" s="4" t="s">
        <v>18</v>
      </c>
      <c r="D7" s="9">
        <v>18.5</v>
      </c>
      <c r="E7" s="5">
        <v>30</v>
      </c>
      <c r="F7" s="5">
        <v>0</v>
      </c>
      <c r="G7" s="5">
        <f t="shared" si="0"/>
        <v>30</v>
      </c>
      <c r="H7" s="9">
        <f t="shared" si="1"/>
        <v>555</v>
      </c>
      <c r="I7" s="10" t="str">
        <f t="shared" si="2"/>
        <v/>
      </c>
      <c r="J7" s="4" t="s">
        <v>77</v>
      </c>
    </row>
    <row r="8" spans="1:10" x14ac:dyDescent="0.3">
      <c r="A8" s="4" t="s">
        <v>23</v>
      </c>
      <c r="B8" s="4" t="s">
        <v>24</v>
      </c>
      <c r="C8" s="4" t="s">
        <v>18</v>
      </c>
      <c r="D8" s="9">
        <v>29.95</v>
      </c>
      <c r="E8" s="5">
        <v>16</v>
      </c>
      <c r="F8" s="5">
        <v>2</v>
      </c>
      <c r="G8" s="5">
        <f t="shared" si="0"/>
        <v>18</v>
      </c>
      <c r="H8" s="9">
        <f t="shared" si="1"/>
        <v>539.1</v>
      </c>
      <c r="I8" s="10" t="str">
        <f t="shared" si="2"/>
        <v/>
      </c>
      <c r="J8" s="4" t="s">
        <v>93</v>
      </c>
    </row>
    <row r="9" spans="1:10" x14ac:dyDescent="0.3">
      <c r="A9" s="4" t="s">
        <v>25</v>
      </c>
      <c r="B9" s="4" t="s">
        <v>26</v>
      </c>
      <c r="C9" s="4" t="s">
        <v>27</v>
      </c>
      <c r="D9" s="9">
        <v>14.95</v>
      </c>
      <c r="E9" s="5">
        <v>44</v>
      </c>
      <c r="F9" s="5">
        <v>0</v>
      </c>
      <c r="G9" s="5">
        <f t="shared" si="0"/>
        <v>44</v>
      </c>
      <c r="H9" s="9">
        <f t="shared" si="1"/>
        <v>657.8</v>
      </c>
      <c r="I9" s="10" t="str">
        <f t="shared" si="2"/>
        <v/>
      </c>
      <c r="J9" s="4" t="s">
        <v>94</v>
      </c>
    </row>
    <row r="10" spans="1:10" x14ac:dyDescent="0.3">
      <c r="A10" s="4" t="s">
        <v>28</v>
      </c>
      <c r="B10" s="4" t="s">
        <v>29</v>
      </c>
      <c r="C10" s="4" t="s">
        <v>27</v>
      </c>
      <c r="D10" s="9">
        <v>24.95</v>
      </c>
      <c r="E10" s="5">
        <v>29</v>
      </c>
      <c r="F10" s="5">
        <v>0</v>
      </c>
      <c r="G10" s="5">
        <f t="shared" si="0"/>
        <v>29</v>
      </c>
      <c r="H10" s="9">
        <f t="shared" si="1"/>
        <v>723.55</v>
      </c>
      <c r="I10" s="10" t="str">
        <f t="shared" si="2"/>
        <v/>
      </c>
      <c r="J10" s="4" t="s">
        <v>95</v>
      </c>
    </row>
    <row r="11" spans="1:10" x14ac:dyDescent="0.3">
      <c r="A11" s="4" t="s">
        <v>30</v>
      </c>
      <c r="B11" s="4" t="s">
        <v>31</v>
      </c>
      <c r="C11" s="4" t="s">
        <v>32</v>
      </c>
      <c r="D11" s="9">
        <v>9.9499999999999993</v>
      </c>
      <c r="E11" s="5">
        <v>12</v>
      </c>
      <c r="F11" s="5">
        <v>0</v>
      </c>
      <c r="G11" s="5">
        <f t="shared" si="0"/>
        <v>12</v>
      </c>
      <c r="H11" s="9">
        <f t="shared" si="1"/>
        <v>119.39999999999999</v>
      </c>
      <c r="I11" s="10" t="str">
        <f t="shared" si="2"/>
        <v/>
      </c>
      <c r="J11" s="4" t="s">
        <v>77</v>
      </c>
    </row>
    <row r="12" spans="1:10" x14ac:dyDescent="0.3">
      <c r="A12" s="4" t="s">
        <v>33</v>
      </c>
      <c r="B12" s="4" t="s">
        <v>34</v>
      </c>
      <c r="C12" s="4" t="s">
        <v>32</v>
      </c>
      <c r="D12" s="9">
        <v>16.95</v>
      </c>
      <c r="E12" s="5">
        <v>12</v>
      </c>
      <c r="F12" s="5">
        <v>0</v>
      </c>
      <c r="G12" s="5">
        <f t="shared" si="0"/>
        <v>12</v>
      </c>
      <c r="H12" s="9">
        <f t="shared" si="1"/>
        <v>203.39999999999998</v>
      </c>
      <c r="I12" s="10" t="str">
        <f t="shared" si="2"/>
        <v/>
      </c>
      <c r="J12" s="4" t="s">
        <v>77</v>
      </c>
    </row>
    <row r="13" spans="1:10" x14ac:dyDescent="0.3">
      <c r="A13" s="4" t="s">
        <v>35</v>
      </c>
      <c r="B13" s="4" t="s">
        <v>36</v>
      </c>
      <c r="C13" s="4" t="s">
        <v>32</v>
      </c>
      <c r="D13" s="9">
        <v>12.95</v>
      </c>
      <c r="E13" s="5">
        <v>24</v>
      </c>
      <c r="F13" s="5">
        <v>0</v>
      </c>
      <c r="G13" s="5">
        <f t="shared" si="0"/>
        <v>24</v>
      </c>
      <c r="H13" s="9">
        <f t="shared" si="1"/>
        <v>310.79999999999995</v>
      </c>
      <c r="I13" s="10" t="str">
        <f t="shared" si="2"/>
        <v/>
      </c>
      <c r="J13" s="4" t="s">
        <v>77</v>
      </c>
    </row>
    <row r="14" spans="1:10" x14ac:dyDescent="0.3">
      <c r="A14" s="4" t="s">
        <v>37</v>
      </c>
      <c r="B14" s="4" t="s">
        <v>38</v>
      </c>
      <c r="C14" s="4" t="s">
        <v>32</v>
      </c>
      <c r="D14" s="9">
        <v>11.5</v>
      </c>
      <c r="E14" s="5">
        <v>8</v>
      </c>
      <c r="F14" s="5">
        <v>0</v>
      </c>
      <c r="G14" s="5">
        <f t="shared" si="0"/>
        <v>8</v>
      </c>
      <c r="H14" s="9">
        <f t="shared" si="1"/>
        <v>92</v>
      </c>
      <c r="I14" s="10" t="str">
        <f t="shared" si="2"/>
        <v/>
      </c>
      <c r="J14" s="4" t="s">
        <v>96</v>
      </c>
    </row>
    <row r="15" spans="1:10" x14ac:dyDescent="0.3">
      <c r="A15" s="4" t="s">
        <v>39</v>
      </c>
      <c r="B15" s="4" t="s">
        <v>40</v>
      </c>
      <c r="C15" s="4" t="s">
        <v>41</v>
      </c>
      <c r="D15" s="9">
        <v>19.95</v>
      </c>
      <c r="E15" s="5">
        <v>18</v>
      </c>
      <c r="F15" s="5">
        <v>0</v>
      </c>
      <c r="G15" s="5">
        <f t="shared" si="0"/>
        <v>18</v>
      </c>
      <c r="H15" s="9">
        <f t="shared" si="1"/>
        <v>359.09999999999997</v>
      </c>
      <c r="I15" s="10" t="str">
        <f t="shared" si="2"/>
        <v/>
      </c>
      <c r="J15" s="4" t="s">
        <v>77</v>
      </c>
    </row>
    <row r="16" spans="1:10" x14ac:dyDescent="0.3">
      <c r="A16" s="4" t="s">
        <v>42</v>
      </c>
      <c r="B16" s="4" t="s">
        <v>43</v>
      </c>
      <c r="C16" s="4" t="s">
        <v>41</v>
      </c>
      <c r="D16" s="9">
        <v>34.950000000000003</v>
      </c>
      <c r="E16" s="5">
        <v>12</v>
      </c>
      <c r="F16" s="5">
        <v>0</v>
      </c>
      <c r="G16" s="5">
        <f t="shared" si="0"/>
        <v>12</v>
      </c>
      <c r="H16" s="9">
        <f t="shared" si="1"/>
        <v>419.40000000000003</v>
      </c>
      <c r="I16" s="10" t="str">
        <f t="shared" si="2"/>
        <v/>
      </c>
      <c r="J16" s="4" t="s">
        <v>77</v>
      </c>
    </row>
    <row r="17" spans="1:10" x14ac:dyDescent="0.3">
      <c r="A17" s="4" t="s">
        <v>44</v>
      </c>
      <c r="B17" s="4" t="s">
        <v>45</v>
      </c>
      <c r="C17" s="4" t="s">
        <v>46</v>
      </c>
      <c r="D17" s="9">
        <v>129</v>
      </c>
      <c r="E17" s="5">
        <v>3</v>
      </c>
      <c r="F17" s="5">
        <v>0</v>
      </c>
      <c r="G17" s="5">
        <f t="shared" si="0"/>
        <v>3</v>
      </c>
      <c r="H17" s="9">
        <f t="shared" si="1"/>
        <v>387</v>
      </c>
      <c r="I17" s="10" t="str">
        <f t="shared" si="2"/>
        <v/>
      </c>
      <c r="J17" s="4" t="s">
        <v>77</v>
      </c>
    </row>
    <row r="18" spans="1:10" x14ac:dyDescent="0.3">
      <c r="A18" s="4" t="s">
        <v>47</v>
      </c>
      <c r="B18" s="4" t="s">
        <v>48</v>
      </c>
      <c r="C18" s="4" t="s">
        <v>49</v>
      </c>
      <c r="D18" s="9">
        <v>21.95</v>
      </c>
      <c r="E18" s="5">
        <v>22</v>
      </c>
      <c r="F18" s="5">
        <v>0</v>
      </c>
      <c r="G18" s="5">
        <f t="shared" si="0"/>
        <v>22</v>
      </c>
      <c r="H18" s="9">
        <f t="shared" si="1"/>
        <v>482.9</v>
      </c>
      <c r="I18" s="10" t="str">
        <f t="shared" si="2"/>
        <v/>
      </c>
      <c r="J18" s="4" t="s">
        <v>97</v>
      </c>
    </row>
    <row r="19" spans="1:10" x14ac:dyDescent="0.3">
      <c r="A19" s="4" t="s">
        <v>50</v>
      </c>
      <c r="B19" s="4" t="s">
        <v>51</v>
      </c>
      <c r="C19" s="4" t="s">
        <v>41</v>
      </c>
      <c r="D19" s="9">
        <v>12.95</v>
      </c>
      <c r="E19" s="5">
        <v>18</v>
      </c>
      <c r="F19" s="5">
        <v>0</v>
      </c>
      <c r="G19" s="5">
        <f t="shared" si="0"/>
        <v>18</v>
      </c>
      <c r="H19" s="9">
        <f t="shared" si="1"/>
        <v>233.1</v>
      </c>
      <c r="I19" s="10" t="str">
        <f t="shared" si="2"/>
        <v/>
      </c>
      <c r="J19" s="4" t="s">
        <v>77</v>
      </c>
    </row>
    <row r="20" spans="1:10" x14ac:dyDescent="0.3">
      <c r="A20" s="4" t="s">
        <v>52</v>
      </c>
      <c r="B20" s="4" t="s">
        <v>53</v>
      </c>
      <c r="C20" s="4" t="s">
        <v>54</v>
      </c>
      <c r="D20" s="9">
        <v>54.95</v>
      </c>
      <c r="E20" s="5">
        <v>12</v>
      </c>
      <c r="F20" s="5">
        <v>0</v>
      </c>
      <c r="G20" s="5">
        <f t="shared" si="0"/>
        <v>12</v>
      </c>
      <c r="H20" s="9">
        <f t="shared" si="1"/>
        <v>659.40000000000009</v>
      </c>
      <c r="I20" s="10" t="str">
        <f t="shared" si="2"/>
        <v/>
      </c>
      <c r="J20" s="4" t="s">
        <v>77</v>
      </c>
    </row>
    <row r="21" spans="1:10" x14ac:dyDescent="0.3">
      <c r="A21" s="4" t="s">
        <v>55</v>
      </c>
      <c r="B21" s="4" t="s">
        <v>56</v>
      </c>
      <c r="C21" s="4" t="s">
        <v>57</v>
      </c>
      <c r="D21" s="9">
        <v>69.95</v>
      </c>
      <c r="E21" s="5">
        <v>4</v>
      </c>
      <c r="F21" s="5">
        <v>0</v>
      </c>
      <c r="G21" s="5">
        <f t="shared" si="0"/>
        <v>4</v>
      </c>
      <c r="H21" s="9">
        <f t="shared" si="1"/>
        <v>279.8</v>
      </c>
      <c r="I21" s="10" t="str">
        <f t="shared" si="2"/>
        <v/>
      </c>
      <c r="J21" s="4" t="s">
        <v>98</v>
      </c>
    </row>
    <row r="22" spans="1:10" x14ac:dyDescent="0.3">
      <c r="A22" s="4" t="s">
        <v>58</v>
      </c>
      <c r="B22" s="4" t="s">
        <v>59</v>
      </c>
      <c r="C22" s="4" t="s">
        <v>60</v>
      </c>
      <c r="D22" s="9">
        <v>149</v>
      </c>
      <c r="E22" s="5">
        <v>0</v>
      </c>
      <c r="F22" s="5">
        <v>0</v>
      </c>
      <c r="G22" s="5">
        <f t="shared" si="0"/>
        <v>0</v>
      </c>
      <c r="H22" s="9">
        <f t="shared" si="1"/>
        <v>0</v>
      </c>
      <c r="I22" s="10" t="str">
        <f t="shared" si="2"/>
        <v>LOW</v>
      </c>
      <c r="J22" s="4" t="s">
        <v>99</v>
      </c>
    </row>
    <row r="23" spans="1:10" x14ac:dyDescent="0.3">
      <c r="A23" s="6" t="s">
        <v>61</v>
      </c>
      <c r="B23" s="6"/>
      <c r="C23" s="6"/>
      <c r="D23" s="6"/>
      <c r="E23" s="7">
        <f>SUM(E5:E22)</f>
        <v>337</v>
      </c>
      <c r="F23" s="7">
        <f>SUM(F5:F22)</f>
        <v>2</v>
      </c>
      <c r="G23" s="7">
        <f>SUM(G5:G22)</f>
        <v>339</v>
      </c>
      <c r="H23" s="11">
        <f>SUM(H5:H22)</f>
        <v>8998.0999999999985</v>
      </c>
      <c r="I23" s="6" t="str">
        <f>COUNTIF(I5:I22,"LOW")&amp;" low"</f>
        <v>1 low</v>
      </c>
      <c r="J23" s="6"/>
    </row>
  </sheetData>
  <autoFilter ref="A4:J2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34" customWidth="1"/>
    <col min="3" max="3" width="13" customWidth="1"/>
    <col min="4" max="4" width="12" customWidth="1"/>
    <col min="5" max="6" width="10" customWidth="1"/>
    <col min="7" max="7" width="12" customWidth="1"/>
    <col min="8" max="8" width="14" customWidth="1"/>
    <col min="9" max="9" width="10" customWidth="1"/>
    <col min="10" max="10" width="22" customWidth="1"/>
  </cols>
  <sheetData>
    <row r="1" spans="1:10" ht="17.399999999999999" x14ac:dyDescent="0.3">
      <c r="A1" s="1" t="s">
        <v>100</v>
      </c>
    </row>
    <row r="2" spans="1:10" x14ac:dyDescent="0.3">
      <c r="A2" s="2" t="s">
        <v>1</v>
      </c>
    </row>
    <row r="4" spans="1:10" ht="30" customHeight="1" x14ac:dyDescent="0.3">
      <c r="A4" s="3" t="s">
        <v>2</v>
      </c>
      <c r="B4" s="3" t="s">
        <v>3</v>
      </c>
      <c r="C4" s="3" t="s">
        <v>4</v>
      </c>
      <c r="D4" s="3" t="s">
        <v>68</v>
      </c>
      <c r="E4" s="3" t="s">
        <v>69</v>
      </c>
      <c r="F4" s="3" t="s">
        <v>70</v>
      </c>
      <c r="G4" s="3" t="s">
        <v>12</v>
      </c>
      <c r="H4" s="3" t="s">
        <v>71</v>
      </c>
      <c r="I4" s="3" t="s">
        <v>72</v>
      </c>
      <c r="J4" s="3" t="s">
        <v>73</v>
      </c>
    </row>
    <row r="5" spans="1:10" x14ac:dyDescent="0.3">
      <c r="A5" s="4" t="s">
        <v>16</v>
      </c>
      <c r="B5" s="4" t="s">
        <v>17</v>
      </c>
      <c r="C5" s="4" t="s">
        <v>18</v>
      </c>
      <c r="D5" s="9">
        <v>39.950000000000003</v>
      </c>
      <c r="E5" s="5">
        <v>20</v>
      </c>
      <c r="F5" s="5">
        <v>0</v>
      </c>
      <c r="G5" s="5">
        <f t="shared" ref="G5:G22" si="0">E5+F5</f>
        <v>20</v>
      </c>
      <c r="H5" s="9">
        <f t="shared" ref="H5:H22" si="1">G5*D5</f>
        <v>799</v>
      </c>
      <c r="I5" s="10" t="str">
        <f t="shared" ref="I5:I22" si="2">IF(E5&lt;=2,"LOW","")</f>
        <v/>
      </c>
      <c r="J5" s="4" t="s">
        <v>77</v>
      </c>
    </row>
    <row r="6" spans="1:10" x14ac:dyDescent="0.3">
      <c r="A6" s="4" t="s">
        <v>19</v>
      </c>
      <c r="B6" s="4" t="s">
        <v>20</v>
      </c>
      <c r="C6" s="4" t="s">
        <v>18</v>
      </c>
      <c r="D6" s="9">
        <v>42.95</v>
      </c>
      <c r="E6" s="5">
        <v>20</v>
      </c>
      <c r="F6" s="5">
        <v>0</v>
      </c>
      <c r="G6" s="5">
        <f t="shared" si="0"/>
        <v>20</v>
      </c>
      <c r="H6" s="9">
        <f t="shared" si="1"/>
        <v>859</v>
      </c>
      <c r="I6" s="10" t="str">
        <f t="shared" si="2"/>
        <v/>
      </c>
      <c r="J6" s="4" t="s">
        <v>101</v>
      </c>
    </row>
    <row r="7" spans="1:10" x14ac:dyDescent="0.3">
      <c r="A7" s="4" t="s">
        <v>21</v>
      </c>
      <c r="B7" s="4" t="s">
        <v>22</v>
      </c>
      <c r="C7" s="4" t="s">
        <v>18</v>
      </c>
      <c r="D7" s="9">
        <v>18.5</v>
      </c>
      <c r="E7" s="5">
        <v>44</v>
      </c>
      <c r="F7" s="5">
        <v>0</v>
      </c>
      <c r="G7" s="5">
        <f t="shared" si="0"/>
        <v>44</v>
      </c>
      <c r="H7" s="9">
        <f t="shared" si="1"/>
        <v>814</v>
      </c>
      <c r="I7" s="10" t="str">
        <f t="shared" si="2"/>
        <v/>
      </c>
      <c r="J7" s="4" t="s">
        <v>102</v>
      </c>
    </row>
    <row r="8" spans="1:10" x14ac:dyDescent="0.3">
      <c r="A8" s="4" t="s">
        <v>23</v>
      </c>
      <c r="B8" s="4" t="s">
        <v>24</v>
      </c>
      <c r="C8" s="4" t="s">
        <v>18</v>
      </c>
      <c r="D8" s="9">
        <v>29.95</v>
      </c>
      <c r="E8" s="5">
        <v>28</v>
      </c>
      <c r="F8" s="5">
        <v>0</v>
      </c>
      <c r="G8" s="5">
        <f t="shared" si="0"/>
        <v>28</v>
      </c>
      <c r="H8" s="9">
        <f t="shared" si="1"/>
        <v>838.6</v>
      </c>
      <c r="I8" s="10" t="str">
        <f t="shared" si="2"/>
        <v/>
      </c>
      <c r="J8" s="4" t="s">
        <v>103</v>
      </c>
    </row>
    <row r="9" spans="1:10" x14ac:dyDescent="0.3">
      <c r="A9" s="4" t="s">
        <v>25</v>
      </c>
      <c r="B9" s="4" t="s">
        <v>26</v>
      </c>
      <c r="C9" s="4" t="s">
        <v>27</v>
      </c>
      <c r="D9" s="9">
        <v>14.95</v>
      </c>
      <c r="E9" s="5">
        <v>33</v>
      </c>
      <c r="F9" s="5">
        <v>0</v>
      </c>
      <c r="G9" s="5">
        <f t="shared" si="0"/>
        <v>33</v>
      </c>
      <c r="H9" s="9">
        <f t="shared" si="1"/>
        <v>493.34999999999997</v>
      </c>
      <c r="I9" s="10" t="str">
        <f t="shared" si="2"/>
        <v/>
      </c>
      <c r="J9" s="4" t="s">
        <v>104</v>
      </c>
    </row>
    <row r="10" spans="1:10" x14ac:dyDescent="0.3">
      <c r="A10" s="4" t="s">
        <v>28</v>
      </c>
      <c r="B10" s="4" t="s">
        <v>29</v>
      </c>
      <c r="C10" s="4" t="s">
        <v>27</v>
      </c>
      <c r="D10" s="9">
        <v>24.95</v>
      </c>
      <c r="E10" s="5">
        <v>18</v>
      </c>
      <c r="F10" s="5">
        <v>0</v>
      </c>
      <c r="G10" s="5">
        <f t="shared" si="0"/>
        <v>18</v>
      </c>
      <c r="H10" s="9">
        <f t="shared" si="1"/>
        <v>449.09999999999997</v>
      </c>
      <c r="I10" s="10" t="str">
        <f t="shared" si="2"/>
        <v/>
      </c>
      <c r="J10" s="4" t="s">
        <v>77</v>
      </c>
    </row>
    <row r="11" spans="1:10" x14ac:dyDescent="0.3">
      <c r="A11" s="4" t="s">
        <v>30</v>
      </c>
      <c r="B11" s="4" t="s">
        <v>31</v>
      </c>
      <c r="C11" s="4" t="s">
        <v>32</v>
      </c>
      <c r="D11" s="9">
        <v>9.9499999999999993</v>
      </c>
      <c r="E11" s="5">
        <v>33</v>
      </c>
      <c r="F11" s="5">
        <v>0</v>
      </c>
      <c r="G11" s="5">
        <f t="shared" si="0"/>
        <v>33</v>
      </c>
      <c r="H11" s="9">
        <f t="shared" si="1"/>
        <v>328.34999999999997</v>
      </c>
      <c r="I11" s="10" t="str">
        <f t="shared" si="2"/>
        <v/>
      </c>
      <c r="J11" s="4" t="s">
        <v>105</v>
      </c>
    </row>
    <row r="12" spans="1:10" x14ac:dyDescent="0.3">
      <c r="A12" s="4" t="s">
        <v>33</v>
      </c>
      <c r="B12" s="4" t="s">
        <v>34</v>
      </c>
      <c r="C12" s="4" t="s">
        <v>32</v>
      </c>
      <c r="D12" s="9">
        <v>16.95</v>
      </c>
      <c r="E12" s="5">
        <v>8</v>
      </c>
      <c r="F12" s="5">
        <v>0</v>
      </c>
      <c r="G12" s="5">
        <f t="shared" si="0"/>
        <v>8</v>
      </c>
      <c r="H12" s="9">
        <f t="shared" si="1"/>
        <v>135.6</v>
      </c>
      <c r="I12" s="10" t="str">
        <f t="shared" si="2"/>
        <v/>
      </c>
      <c r="J12" s="4" t="s">
        <v>77</v>
      </c>
    </row>
    <row r="13" spans="1:10" x14ac:dyDescent="0.3">
      <c r="A13" s="4" t="s">
        <v>35</v>
      </c>
      <c r="B13" s="4" t="s">
        <v>36</v>
      </c>
      <c r="C13" s="4" t="s">
        <v>32</v>
      </c>
      <c r="D13" s="9">
        <v>12.95</v>
      </c>
      <c r="E13" s="5">
        <v>11</v>
      </c>
      <c r="F13" s="5">
        <v>0</v>
      </c>
      <c r="G13" s="5">
        <f t="shared" si="0"/>
        <v>11</v>
      </c>
      <c r="H13" s="9">
        <f t="shared" si="1"/>
        <v>142.44999999999999</v>
      </c>
      <c r="I13" s="10" t="str">
        <f t="shared" si="2"/>
        <v/>
      </c>
      <c r="J13" s="4" t="s">
        <v>102</v>
      </c>
    </row>
    <row r="14" spans="1:10" x14ac:dyDescent="0.3">
      <c r="A14" s="4" t="s">
        <v>37</v>
      </c>
      <c r="B14" s="4" t="s">
        <v>38</v>
      </c>
      <c r="C14" s="4" t="s">
        <v>32</v>
      </c>
      <c r="D14" s="9">
        <v>11.5</v>
      </c>
      <c r="E14" s="5">
        <v>24</v>
      </c>
      <c r="F14" s="5">
        <v>0</v>
      </c>
      <c r="G14" s="5">
        <f t="shared" si="0"/>
        <v>24</v>
      </c>
      <c r="H14" s="9">
        <f t="shared" si="1"/>
        <v>276</v>
      </c>
      <c r="I14" s="10" t="str">
        <f t="shared" si="2"/>
        <v/>
      </c>
      <c r="J14" s="4" t="s">
        <v>77</v>
      </c>
    </row>
    <row r="15" spans="1:10" x14ac:dyDescent="0.3">
      <c r="A15" s="4" t="s">
        <v>39</v>
      </c>
      <c r="B15" s="4" t="s">
        <v>40</v>
      </c>
      <c r="C15" s="4" t="s">
        <v>41</v>
      </c>
      <c r="D15" s="9">
        <v>19.95</v>
      </c>
      <c r="E15" s="5">
        <v>4</v>
      </c>
      <c r="F15" s="5">
        <v>0</v>
      </c>
      <c r="G15" s="5">
        <f t="shared" si="0"/>
        <v>4</v>
      </c>
      <c r="H15" s="9">
        <f t="shared" si="1"/>
        <v>79.8</v>
      </c>
      <c r="I15" s="10" t="str">
        <f t="shared" si="2"/>
        <v/>
      </c>
      <c r="J15" s="4" t="s">
        <v>106</v>
      </c>
    </row>
    <row r="16" spans="1:10" x14ac:dyDescent="0.3">
      <c r="A16" s="4" t="s">
        <v>42</v>
      </c>
      <c r="B16" s="4" t="s">
        <v>43</v>
      </c>
      <c r="C16" s="4" t="s">
        <v>41</v>
      </c>
      <c r="D16" s="9">
        <v>34.950000000000003</v>
      </c>
      <c r="E16" s="5">
        <v>4</v>
      </c>
      <c r="F16" s="5">
        <v>0</v>
      </c>
      <c r="G16" s="5">
        <f t="shared" si="0"/>
        <v>4</v>
      </c>
      <c r="H16" s="9">
        <f t="shared" si="1"/>
        <v>139.80000000000001</v>
      </c>
      <c r="I16" s="10" t="str">
        <f t="shared" si="2"/>
        <v/>
      </c>
      <c r="J16" s="4" t="s">
        <v>77</v>
      </c>
    </row>
    <row r="17" spans="1:10" x14ac:dyDescent="0.3">
      <c r="A17" s="4" t="s">
        <v>44</v>
      </c>
      <c r="B17" s="4" t="s">
        <v>45</v>
      </c>
      <c r="C17" s="4" t="s">
        <v>46</v>
      </c>
      <c r="D17" s="9">
        <v>129</v>
      </c>
      <c r="E17" s="5">
        <v>1</v>
      </c>
      <c r="F17" s="5">
        <v>0</v>
      </c>
      <c r="G17" s="5">
        <f t="shared" si="0"/>
        <v>1</v>
      </c>
      <c r="H17" s="9">
        <f t="shared" si="1"/>
        <v>129</v>
      </c>
      <c r="I17" s="10" t="str">
        <f t="shared" si="2"/>
        <v>LOW</v>
      </c>
      <c r="J17" s="4" t="s">
        <v>77</v>
      </c>
    </row>
    <row r="18" spans="1:10" x14ac:dyDescent="0.3">
      <c r="A18" s="4" t="s">
        <v>47</v>
      </c>
      <c r="B18" s="4" t="s">
        <v>48</v>
      </c>
      <c r="C18" s="4" t="s">
        <v>49</v>
      </c>
      <c r="D18" s="9">
        <v>21.95</v>
      </c>
      <c r="E18" s="5">
        <v>36</v>
      </c>
      <c r="F18" s="5">
        <v>0</v>
      </c>
      <c r="G18" s="5">
        <f t="shared" si="0"/>
        <v>36</v>
      </c>
      <c r="H18" s="9">
        <f t="shared" si="1"/>
        <v>790.19999999999993</v>
      </c>
      <c r="I18" s="10" t="str">
        <f t="shared" si="2"/>
        <v/>
      </c>
      <c r="J18" s="4" t="s">
        <v>77</v>
      </c>
    </row>
    <row r="19" spans="1:10" x14ac:dyDescent="0.3">
      <c r="A19" s="4" t="s">
        <v>50</v>
      </c>
      <c r="B19" s="4" t="s">
        <v>51</v>
      </c>
      <c r="C19" s="4" t="s">
        <v>41</v>
      </c>
      <c r="D19" s="9">
        <v>12.95</v>
      </c>
      <c r="E19" s="5">
        <v>18</v>
      </c>
      <c r="F19" s="5">
        <v>0</v>
      </c>
      <c r="G19" s="5">
        <f t="shared" si="0"/>
        <v>18</v>
      </c>
      <c r="H19" s="9">
        <f t="shared" si="1"/>
        <v>233.1</v>
      </c>
      <c r="I19" s="10" t="str">
        <f t="shared" si="2"/>
        <v/>
      </c>
      <c r="J19" s="4" t="s">
        <v>77</v>
      </c>
    </row>
    <row r="20" spans="1:10" x14ac:dyDescent="0.3">
      <c r="A20" s="4" t="s">
        <v>52</v>
      </c>
      <c r="B20" s="4" t="s">
        <v>53</v>
      </c>
      <c r="C20" s="4" t="s">
        <v>54</v>
      </c>
      <c r="D20" s="9">
        <v>54.95</v>
      </c>
      <c r="E20" s="5">
        <v>6</v>
      </c>
      <c r="F20" s="5">
        <v>0</v>
      </c>
      <c r="G20" s="5">
        <f t="shared" si="0"/>
        <v>6</v>
      </c>
      <c r="H20" s="9">
        <f t="shared" si="1"/>
        <v>329.70000000000005</v>
      </c>
      <c r="I20" s="10" t="str">
        <f t="shared" si="2"/>
        <v/>
      </c>
      <c r="J20" s="4" t="s">
        <v>77</v>
      </c>
    </row>
    <row r="21" spans="1:10" x14ac:dyDescent="0.3">
      <c r="A21" s="4" t="s">
        <v>55</v>
      </c>
      <c r="B21" s="4" t="s">
        <v>56</v>
      </c>
      <c r="C21" s="4" t="s">
        <v>57</v>
      </c>
      <c r="D21" s="9">
        <v>69.95</v>
      </c>
      <c r="E21" s="5">
        <v>2</v>
      </c>
      <c r="F21" s="5">
        <v>0</v>
      </c>
      <c r="G21" s="5">
        <f t="shared" si="0"/>
        <v>2</v>
      </c>
      <c r="H21" s="9">
        <f t="shared" si="1"/>
        <v>139.9</v>
      </c>
      <c r="I21" s="10" t="str">
        <f t="shared" si="2"/>
        <v>LOW</v>
      </c>
      <c r="J21" s="4" t="s">
        <v>77</v>
      </c>
    </row>
    <row r="22" spans="1:10" x14ac:dyDescent="0.3">
      <c r="A22" s="4" t="s">
        <v>58</v>
      </c>
      <c r="B22" s="4" t="s">
        <v>59</v>
      </c>
      <c r="C22" s="4" t="s">
        <v>60</v>
      </c>
      <c r="D22" s="9">
        <v>149</v>
      </c>
      <c r="E22" s="5">
        <v>1</v>
      </c>
      <c r="F22" s="5">
        <v>0</v>
      </c>
      <c r="G22" s="5">
        <f t="shared" si="0"/>
        <v>1</v>
      </c>
      <c r="H22" s="9">
        <f t="shared" si="1"/>
        <v>149</v>
      </c>
      <c r="I22" s="10" t="str">
        <f t="shared" si="2"/>
        <v>LOW</v>
      </c>
      <c r="J22" s="4" t="s">
        <v>77</v>
      </c>
    </row>
    <row r="23" spans="1:10" x14ac:dyDescent="0.3">
      <c r="A23" s="6" t="s">
        <v>61</v>
      </c>
      <c r="B23" s="6"/>
      <c r="C23" s="6"/>
      <c r="D23" s="6"/>
      <c r="E23" s="7">
        <f>SUM(E5:E22)</f>
        <v>311</v>
      </c>
      <c r="F23" s="7">
        <f>SUM(F5:F22)</f>
        <v>0</v>
      </c>
      <c r="G23" s="7">
        <f>SUM(G5:G22)</f>
        <v>311</v>
      </c>
      <c r="H23" s="11">
        <f>SUM(H5:H22)</f>
        <v>7125.9500000000007</v>
      </c>
      <c r="I23" s="6" t="str">
        <f>COUNTIF(I5:I22,"LOW")&amp;" low"</f>
        <v>3 low</v>
      </c>
      <c r="J23" s="6"/>
    </row>
  </sheetData>
  <autoFilter ref="A4:J2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34" customWidth="1"/>
    <col min="3" max="3" width="13" customWidth="1"/>
    <col min="4" max="4" width="12" customWidth="1"/>
    <col min="5" max="6" width="10" customWidth="1"/>
    <col min="7" max="7" width="12" customWidth="1"/>
    <col min="8" max="8" width="14" customWidth="1"/>
    <col min="9" max="9" width="10" customWidth="1"/>
    <col min="10" max="10" width="22" customWidth="1"/>
  </cols>
  <sheetData>
    <row r="1" spans="1:10" ht="17.399999999999999" x14ac:dyDescent="0.3">
      <c r="A1" s="1" t="s">
        <v>107</v>
      </c>
    </row>
    <row r="2" spans="1:10" x14ac:dyDescent="0.3">
      <c r="A2" s="2" t="s">
        <v>1</v>
      </c>
    </row>
    <row r="4" spans="1:10" ht="30" customHeight="1" x14ac:dyDescent="0.3">
      <c r="A4" s="3" t="s">
        <v>2</v>
      </c>
      <c r="B4" s="3" t="s">
        <v>3</v>
      </c>
      <c r="C4" s="3" t="s">
        <v>4</v>
      </c>
      <c r="D4" s="3" t="s">
        <v>68</v>
      </c>
      <c r="E4" s="3" t="s">
        <v>69</v>
      </c>
      <c r="F4" s="3" t="s">
        <v>70</v>
      </c>
      <c r="G4" s="3" t="s">
        <v>12</v>
      </c>
      <c r="H4" s="3" t="s">
        <v>71</v>
      </c>
      <c r="I4" s="3" t="s">
        <v>72</v>
      </c>
      <c r="J4" s="3" t="s">
        <v>73</v>
      </c>
    </row>
    <row r="5" spans="1:10" x14ac:dyDescent="0.3">
      <c r="A5" s="4" t="s">
        <v>16</v>
      </c>
      <c r="B5" s="4" t="s">
        <v>17</v>
      </c>
      <c r="C5" s="4" t="s">
        <v>18</v>
      </c>
      <c r="D5" s="9">
        <v>39.950000000000003</v>
      </c>
      <c r="E5" s="5">
        <v>46</v>
      </c>
      <c r="F5" s="5">
        <v>0</v>
      </c>
      <c r="G5" s="5">
        <f t="shared" ref="G5:G22" si="0">E5+F5</f>
        <v>46</v>
      </c>
      <c r="H5" s="9">
        <f t="shared" ref="H5:H22" si="1">G5*D5</f>
        <v>1837.7</v>
      </c>
      <c r="I5" s="10" t="str">
        <f t="shared" ref="I5:I22" si="2">IF(E5&lt;=2,"LOW","")</f>
        <v/>
      </c>
      <c r="J5" s="4" t="s">
        <v>108</v>
      </c>
    </row>
    <row r="6" spans="1:10" x14ac:dyDescent="0.3">
      <c r="A6" s="4" t="s">
        <v>19</v>
      </c>
      <c r="B6" s="4" t="s">
        <v>20</v>
      </c>
      <c r="C6" s="4" t="s">
        <v>18</v>
      </c>
      <c r="D6" s="9">
        <v>42.95</v>
      </c>
      <c r="E6" s="5">
        <v>23</v>
      </c>
      <c r="F6" s="5">
        <v>0</v>
      </c>
      <c r="G6" s="5">
        <f t="shared" si="0"/>
        <v>23</v>
      </c>
      <c r="H6" s="9">
        <f t="shared" si="1"/>
        <v>987.85</v>
      </c>
      <c r="I6" s="10" t="str">
        <f t="shared" si="2"/>
        <v/>
      </c>
      <c r="J6" s="4" t="s">
        <v>109</v>
      </c>
    </row>
    <row r="7" spans="1:10" x14ac:dyDescent="0.3">
      <c r="A7" s="4" t="s">
        <v>21</v>
      </c>
      <c r="B7" s="4" t="s">
        <v>22</v>
      </c>
      <c r="C7" s="4" t="s">
        <v>18</v>
      </c>
      <c r="D7" s="9">
        <v>18.5</v>
      </c>
      <c r="E7" s="5">
        <v>24</v>
      </c>
      <c r="F7" s="5">
        <v>0</v>
      </c>
      <c r="G7" s="5">
        <f t="shared" si="0"/>
        <v>24</v>
      </c>
      <c r="H7" s="9">
        <f t="shared" si="1"/>
        <v>444</v>
      </c>
      <c r="I7" s="10" t="str">
        <f t="shared" si="2"/>
        <v/>
      </c>
      <c r="J7" s="4" t="s">
        <v>77</v>
      </c>
    </row>
    <row r="8" spans="1:10" x14ac:dyDescent="0.3">
      <c r="A8" s="4" t="s">
        <v>23</v>
      </c>
      <c r="B8" s="4" t="s">
        <v>24</v>
      </c>
      <c r="C8" s="4" t="s">
        <v>18</v>
      </c>
      <c r="D8" s="9">
        <v>29.95</v>
      </c>
      <c r="E8" s="5">
        <v>12</v>
      </c>
      <c r="F8" s="5">
        <v>0</v>
      </c>
      <c r="G8" s="5">
        <f t="shared" si="0"/>
        <v>12</v>
      </c>
      <c r="H8" s="9">
        <f t="shared" si="1"/>
        <v>359.4</v>
      </c>
      <c r="I8" s="10" t="str">
        <f t="shared" si="2"/>
        <v/>
      </c>
      <c r="J8" s="4" t="s">
        <v>77</v>
      </c>
    </row>
    <row r="9" spans="1:10" x14ac:dyDescent="0.3">
      <c r="A9" s="4" t="s">
        <v>25</v>
      </c>
      <c r="B9" s="4" t="s">
        <v>26</v>
      </c>
      <c r="C9" s="4" t="s">
        <v>27</v>
      </c>
      <c r="D9" s="9">
        <v>14.95</v>
      </c>
      <c r="E9" s="5">
        <v>60</v>
      </c>
      <c r="F9" s="5">
        <v>0</v>
      </c>
      <c r="G9" s="5">
        <f t="shared" si="0"/>
        <v>60</v>
      </c>
      <c r="H9" s="9">
        <f t="shared" si="1"/>
        <v>897</v>
      </c>
      <c r="I9" s="10" t="str">
        <f t="shared" si="2"/>
        <v/>
      </c>
      <c r="J9" s="4" t="s">
        <v>77</v>
      </c>
    </row>
    <row r="10" spans="1:10" x14ac:dyDescent="0.3">
      <c r="A10" s="4" t="s">
        <v>28</v>
      </c>
      <c r="B10" s="4" t="s">
        <v>29</v>
      </c>
      <c r="C10" s="4" t="s">
        <v>27</v>
      </c>
      <c r="D10" s="9">
        <v>24.95</v>
      </c>
      <c r="E10" s="5">
        <v>34</v>
      </c>
      <c r="F10" s="5">
        <v>0</v>
      </c>
      <c r="G10" s="5">
        <f t="shared" si="0"/>
        <v>34</v>
      </c>
      <c r="H10" s="9">
        <f t="shared" si="1"/>
        <v>848.3</v>
      </c>
      <c r="I10" s="10" t="str">
        <f t="shared" si="2"/>
        <v/>
      </c>
      <c r="J10" s="4" t="s">
        <v>108</v>
      </c>
    </row>
    <row r="11" spans="1:10" x14ac:dyDescent="0.3">
      <c r="A11" s="4" t="s">
        <v>30</v>
      </c>
      <c r="B11" s="4" t="s">
        <v>31</v>
      </c>
      <c r="C11" s="4" t="s">
        <v>32</v>
      </c>
      <c r="D11" s="9">
        <v>9.9499999999999993</v>
      </c>
      <c r="E11" s="5">
        <v>24</v>
      </c>
      <c r="F11" s="5">
        <v>0</v>
      </c>
      <c r="G11" s="5">
        <f t="shared" si="0"/>
        <v>24</v>
      </c>
      <c r="H11" s="9">
        <f t="shared" si="1"/>
        <v>238.79999999999998</v>
      </c>
      <c r="I11" s="10" t="str">
        <f t="shared" si="2"/>
        <v/>
      </c>
      <c r="J11" s="4" t="s">
        <v>77</v>
      </c>
    </row>
    <row r="12" spans="1:10" x14ac:dyDescent="0.3">
      <c r="A12" s="4" t="s">
        <v>33</v>
      </c>
      <c r="B12" s="4" t="s">
        <v>34</v>
      </c>
      <c r="C12" s="4" t="s">
        <v>32</v>
      </c>
      <c r="D12" s="9">
        <v>16.95</v>
      </c>
      <c r="E12" s="5">
        <v>12</v>
      </c>
      <c r="F12" s="5">
        <v>0</v>
      </c>
      <c r="G12" s="5">
        <f t="shared" si="0"/>
        <v>12</v>
      </c>
      <c r="H12" s="9">
        <f t="shared" si="1"/>
        <v>203.39999999999998</v>
      </c>
      <c r="I12" s="10" t="str">
        <f t="shared" si="2"/>
        <v/>
      </c>
      <c r="J12" s="4" t="s">
        <v>110</v>
      </c>
    </row>
    <row r="13" spans="1:10" x14ac:dyDescent="0.3">
      <c r="A13" s="4" t="s">
        <v>35</v>
      </c>
      <c r="B13" s="4" t="s">
        <v>36</v>
      </c>
      <c r="C13" s="4" t="s">
        <v>32</v>
      </c>
      <c r="D13" s="9">
        <v>12.95</v>
      </c>
      <c r="E13" s="5">
        <v>18</v>
      </c>
      <c r="F13" s="5">
        <v>0</v>
      </c>
      <c r="G13" s="5">
        <f t="shared" si="0"/>
        <v>18</v>
      </c>
      <c r="H13" s="9">
        <f t="shared" si="1"/>
        <v>233.1</v>
      </c>
      <c r="I13" s="10" t="str">
        <f t="shared" si="2"/>
        <v/>
      </c>
      <c r="J13" s="4" t="s">
        <v>77</v>
      </c>
    </row>
    <row r="14" spans="1:10" x14ac:dyDescent="0.3">
      <c r="A14" s="4" t="s">
        <v>37</v>
      </c>
      <c r="B14" s="4" t="s">
        <v>38</v>
      </c>
      <c r="C14" s="4" t="s">
        <v>32</v>
      </c>
      <c r="D14" s="9">
        <v>11.5</v>
      </c>
      <c r="E14" s="5">
        <v>12</v>
      </c>
      <c r="F14" s="5">
        <v>0</v>
      </c>
      <c r="G14" s="5">
        <f t="shared" si="0"/>
        <v>12</v>
      </c>
      <c r="H14" s="9">
        <f t="shared" si="1"/>
        <v>138</v>
      </c>
      <c r="I14" s="10" t="str">
        <f t="shared" si="2"/>
        <v/>
      </c>
      <c r="J14" s="4" t="s">
        <v>77</v>
      </c>
    </row>
    <row r="15" spans="1:10" x14ac:dyDescent="0.3">
      <c r="A15" s="4" t="s">
        <v>39</v>
      </c>
      <c r="B15" s="4" t="s">
        <v>40</v>
      </c>
      <c r="C15" s="4" t="s">
        <v>41</v>
      </c>
      <c r="D15" s="9">
        <v>19.95</v>
      </c>
      <c r="E15" s="5">
        <v>12</v>
      </c>
      <c r="F15" s="5">
        <v>0</v>
      </c>
      <c r="G15" s="5">
        <f t="shared" si="0"/>
        <v>12</v>
      </c>
      <c r="H15" s="9">
        <f t="shared" si="1"/>
        <v>239.39999999999998</v>
      </c>
      <c r="I15" s="10" t="str">
        <f t="shared" si="2"/>
        <v/>
      </c>
      <c r="J15" s="4" t="s">
        <v>77</v>
      </c>
    </row>
    <row r="16" spans="1:10" x14ac:dyDescent="0.3">
      <c r="A16" s="4" t="s">
        <v>42</v>
      </c>
      <c r="B16" s="4" t="s">
        <v>43</v>
      </c>
      <c r="C16" s="4" t="s">
        <v>41</v>
      </c>
      <c r="D16" s="9">
        <v>34.950000000000003</v>
      </c>
      <c r="E16" s="5">
        <v>8</v>
      </c>
      <c r="F16" s="5">
        <v>0</v>
      </c>
      <c r="G16" s="5">
        <f t="shared" si="0"/>
        <v>8</v>
      </c>
      <c r="H16" s="9">
        <f t="shared" si="1"/>
        <v>279.60000000000002</v>
      </c>
      <c r="I16" s="10" t="str">
        <f t="shared" si="2"/>
        <v/>
      </c>
      <c r="J16" s="4" t="s">
        <v>77</v>
      </c>
    </row>
    <row r="17" spans="1:10" x14ac:dyDescent="0.3">
      <c r="A17" s="4" t="s">
        <v>44</v>
      </c>
      <c r="B17" s="4" t="s">
        <v>45</v>
      </c>
      <c r="C17" s="4" t="s">
        <v>46</v>
      </c>
      <c r="D17" s="9">
        <v>129</v>
      </c>
      <c r="E17" s="5">
        <v>1</v>
      </c>
      <c r="F17" s="5">
        <v>0</v>
      </c>
      <c r="G17" s="5">
        <f t="shared" si="0"/>
        <v>1</v>
      </c>
      <c r="H17" s="9">
        <f t="shared" si="1"/>
        <v>129</v>
      </c>
      <c r="I17" s="10" t="str">
        <f t="shared" si="2"/>
        <v>LOW</v>
      </c>
      <c r="J17" s="4" t="s">
        <v>77</v>
      </c>
    </row>
    <row r="18" spans="1:10" x14ac:dyDescent="0.3">
      <c r="A18" s="4" t="s">
        <v>47</v>
      </c>
      <c r="B18" s="4" t="s">
        <v>48</v>
      </c>
      <c r="C18" s="4" t="s">
        <v>49</v>
      </c>
      <c r="D18" s="9">
        <v>21.95</v>
      </c>
      <c r="E18" s="5">
        <v>38</v>
      </c>
      <c r="F18" s="5">
        <v>0</v>
      </c>
      <c r="G18" s="5">
        <f t="shared" si="0"/>
        <v>38</v>
      </c>
      <c r="H18" s="9">
        <f t="shared" si="1"/>
        <v>834.1</v>
      </c>
      <c r="I18" s="10" t="str">
        <f t="shared" si="2"/>
        <v/>
      </c>
      <c r="J18" s="4" t="s">
        <v>111</v>
      </c>
    </row>
    <row r="19" spans="1:10" x14ac:dyDescent="0.3">
      <c r="A19" s="4" t="s">
        <v>50</v>
      </c>
      <c r="B19" s="4" t="s">
        <v>51</v>
      </c>
      <c r="C19" s="4" t="s">
        <v>41</v>
      </c>
      <c r="D19" s="9">
        <v>12.95</v>
      </c>
      <c r="E19" s="5">
        <v>24</v>
      </c>
      <c r="F19" s="5">
        <v>0</v>
      </c>
      <c r="G19" s="5">
        <f t="shared" si="0"/>
        <v>24</v>
      </c>
      <c r="H19" s="9">
        <f t="shared" si="1"/>
        <v>310.79999999999995</v>
      </c>
      <c r="I19" s="10" t="str">
        <f t="shared" si="2"/>
        <v/>
      </c>
      <c r="J19" s="4" t="s">
        <v>77</v>
      </c>
    </row>
    <row r="20" spans="1:10" x14ac:dyDescent="0.3">
      <c r="A20" s="4" t="s">
        <v>52</v>
      </c>
      <c r="B20" s="4" t="s">
        <v>53</v>
      </c>
      <c r="C20" s="4" t="s">
        <v>54</v>
      </c>
      <c r="D20" s="9">
        <v>54.95</v>
      </c>
      <c r="E20" s="5">
        <v>11</v>
      </c>
      <c r="F20" s="5">
        <v>0</v>
      </c>
      <c r="G20" s="5">
        <f t="shared" si="0"/>
        <v>11</v>
      </c>
      <c r="H20" s="9">
        <f t="shared" si="1"/>
        <v>604.45000000000005</v>
      </c>
      <c r="I20" s="10" t="str">
        <f t="shared" si="2"/>
        <v/>
      </c>
      <c r="J20" s="4" t="s">
        <v>112</v>
      </c>
    </row>
    <row r="21" spans="1:10" x14ac:dyDescent="0.3">
      <c r="A21" s="4" t="s">
        <v>55</v>
      </c>
      <c r="B21" s="4" t="s">
        <v>56</v>
      </c>
      <c r="C21" s="4" t="s">
        <v>57</v>
      </c>
      <c r="D21" s="9">
        <v>69.95</v>
      </c>
      <c r="E21" s="5">
        <v>6</v>
      </c>
      <c r="F21" s="5">
        <v>0</v>
      </c>
      <c r="G21" s="5">
        <f t="shared" si="0"/>
        <v>6</v>
      </c>
      <c r="H21" s="9">
        <f t="shared" si="1"/>
        <v>419.70000000000005</v>
      </c>
      <c r="I21" s="10" t="str">
        <f t="shared" si="2"/>
        <v/>
      </c>
      <c r="J21" s="4" t="s">
        <v>77</v>
      </c>
    </row>
    <row r="22" spans="1:10" x14ac:dyDescent="0.3">
      <c r="A22" s="4" t="s">
        <v>58</v>
      </c>
      <c r="B22" s="4" t="s">
        <v>59</v>
      </c>
      <c r="C22" s="4" t="s">
        <v>60</v>
      </c>
      <c r="D22" s="9">
        <v>149</v>
      </c>
      <c r="E22" s="5">
        <v>1</v>
      </c>
      <c r="F22" s="5">
        <v>0</v>
      </c>
      <c r="G22" s="5">
        <f t="shared" si="0"/>
        <v>1</v>
      </c>
      <c r="H22" s="9">
        <f t="shared" si="1"/>
        <v>149</v>
      </c>
      <c r="I22" s="10" t="str">
        <f t="shared" si="2"/>
        <v>LOW</v>
      </c>
      <c r="J22" s="4" t="s">
        <v>77</v>
      </c>
    </row>
    <row r="23" spans="1:10" x14ac:dyDescent="0.3">
      <c r="A23" s="6" t="s">
        <v>61</v>
      </c>
      <c r="B23" s="6"/>
      <c r="C23" s="6"/>
      <c r="D23" s="6"/>
      <c r="E23" s="7">
        <f>SUM(E5:E22)</f>
        <v>366</v>
      </c>
      <c r="F23" s="7">
        <f>SUM(F5:F22)</f>
        <v>0</v>
      </c>
      <c r="G23" s="7">
        <f>SUM(G5:G22)</f>
        <v>366</v>
      </c>
      <c r="H23" s="11">
        <f>SUM(H5:H22)</f>
        <v>9153.6000000000022</v>
      </c>
      <c r="I23" s="6" t="str">
        <f>COUNTIF(I5:I22,"LOW")&amp;" low"</f>
        <v>2 low</v>
      </c>
      <c r="J23" s="6"/>
    </row>
  </sheetData>
  <autoFilter ref="A4:J22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Stores</vt:lpstr>
      <vt:lpstr>Parramatta</vt:lpstr>
      <vt:lpstr>Bondi</vt:lpstr>
      <vt:lpstr>Chatswood</vt:lpstr>
      <vt:lpstr>Newtown</vt:lpstr>
      <vt:lpstr>Penrith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Alfred John</cp:lastModifiedBy>
  <dcterms:created xsi:type="dcterms:W3CDTF">2026-10-03T06:11:30Z</dcterms:created>
  <dcterms:modified xsi:type="dcterms:W3CDTF">2026-10-03T06:11:44Z</dcterms:modified>
</cp:coreProperties>
</file>